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yoges\Downloads\"/>
    </mc:Choice>
  </mc:AlternateContent>
  <xr:revisionPtr revIDLastSave="0" documentId="8_{0BC58C62-8DD7-44E1-8176-EFFE9C4C2EB4}" xr6:coauthVersionLast="47" xr6:coauthVersionMax="47" xr10:uidLastSave="{00000000-0000-0000-0000-000000000000}"/>
  <bookViews>
    <workbookView xWindow="-120" yWindow="-120" windowWidth="29040" windowHeight="15720" xr2:uid="{A31F09EB-BC4A-4E28-AFD6-656B84808B88}"/>
  </bookViews>
  <sheets>
    <sheet name="DashBoad" sheetId="5" r:id="rId1"/>
    <sheet name="Sheet1" sheetId="3" r:id="rId2"/>
    <sheet name="Inventory Records Data" sheetId="2" r:id="rId3"/>
  </sheets>
  <definedNames>
    <definedName name="Slicer_Hand_In_Stock">#N/A</definedName>
    <definedName name="Slicer_Number_of_Units_Sold">#N/A</definedName>
    <definedName name="Slicer_Stock_Status">#N/A</definedName>
    <definedName name="tblInventory">Table1[#All]</definedName>
  </definedNames>
  <calcPr calcId="191029"/>
  <pivotCaches>
    <pivotCache cacheId="1"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47" i="2" l="1"/>
  <c r="K47" i="2"/>
  <c r="J47" i="2"/>
  <c r="I47" i="2"/>
  <c r="L46" i="2"/>
  <c r="K46" i="2"/>
  <c r="J46" i="2"/>
  <c r="I46" i="2"/>
  <c r="L45" i="2"/>
  <c r="K45" i="2"/>
  <c r="J45" i="2"/>
  <c r="I45" i="2"/>
  <c r="L44" i="2"/>
  <c r="K44" i="2"/>
  <c r="J44" i="2"/>
  <c r="I44" i="2"/>
  <c r="L43" i="2"/>
  <c r="K43" i="2"/>
  <c r="J43" i="2"/>
  <c r="I43" i="2"/>
  <c r="L42" i="2"/>
  <c r="K42" i="2"/>
  <c r="J42" i="2"/>
  <c r="I42" i="2"/>
  <c r="L41" i="2"/>
  <c r="K41" i="2"/>
  <c r="J41" i="2"/>
  <c r="I41" i="2"/>
  <c r="L40" i="2"/>
  <c r="K40" i="2"/>
  <c r="J40" i="2"/>
  <c r="I40" i="2"/>
  <c r="L39" i="2"/>
  <c r="K39" i="2"/>
  <c r="J39" i="2"/>
  <c r="I39" i="2"/>
  <c r="L38" i="2"/>
  <c r="K38" i="2"/>
  <c r="J38" i="2"/>
  <c r="I38" i="2"/>
  <c r="L37" i="2"/>
  <c r="K37" i="2"/>
  <c r="J37" i="2"/>
  <c r="I37" i="2"/>
  <c r="L36" i="2"/>
  <c r="K36" i="2"/>
  <c r="J36" i="2"/>
  <c r="I36" i="2"/>
  <c r="L35" i="2"/>
  <c r="K35" i="2"/>
  <c r="J35" i="2"/>
  <c r="I35" i="2"/>
  <c r="L34" i="2"/>
  <c r="K34" i="2"/>
  <c r="J34" i="2"/>
  <c r="I34" i="2"/>
  <c r="L33" i="2"/>
  <c r="K33" i="2"/>
  <c r="J33" i="2"/>
  <c r="I33" i="2"/>
  <c r="L32" i="2"/>
  <c r="K32" i="2"/>
  <c r="J32" i="2"/>
  <c r="I32" i="2"/>
  <c r="L31" i="2"/>
  <c r="K31" i="2"/>
  <c r="J31" i="2"/>
  <c r="I31" i="2"/>
  <c r="L30" i="2"/>
  <c r="K30" i="2"/>
  <c r="J30" i="2"/>
  <c r="I30" i="2"/>
  <c r="L29" i="2"/>
  <c r="K29" i="2"/>
  <c r="J29" i="2"/>
  <c r="I29" i="2"/>
  <c r="L28" i="2"/>
  <c r="K28" i="2"/>
  <c r="J28" i="2"/>
  <c r="I28" i="2"/>
  <c r="L27" i="2"/>
  <c r="K27" i="2"/>
  <c r="J27" i="2"/>
  <c r="I27" i="2"/>
  <c r="L26" i="2"/>
  <c r="K26" i="2"/>
  <c r="J26" i="2"/>
  <c r="I26" i="2"/>
  <c r="L25" i="2"/>
  <c r="K25" i="2"/>
  <c r="J25" i="2"/>
  <c r="I25" i="2"/>
  <c r="L24" i="2"/>
  <c r="K24" i="2"/>
  <c r="J24" i="2"/>
  <c r="I24" i="2"/>
  <c r="L23" i="2"/>
  <c r="K23" i="2"/>
  <c r="J23" i="2"/>
  <c r="I23" i="2"/>
  <c r="L22" i="2"/>
  <c r="K22" i="2"/>
  <c r="J22" i="2"/>
  <c r="I22" i="2"/>
  <c r="L21" i="2"/>
  <c r="K21" i="2"/>
  <c r="J21" i="2"/>
  <c r="I21" i="2"/>
  <c r="L20" i="2"/>
  <c r="K20" i="2"/>
  <c r="J20" i="2"/>
  <c r="I20" i="2"/>
  <c r="L19" i="2"/>
  <c r="K19" i="2"/>
  <c r="J19" i="2"/>
  <c r="I19" i="2"/>
  <c r="L18" i="2"/>
  <c r="K18" i="2"/>
  <c r="J18" i="2"/>
  <c r="I18" i="2"/>
  <c r="L17" i="2"/>
  <c r="K17" i="2"/>
  <c r="J17" i="2"/>
  <c r="I17" i="2"/>
  <c r="L16" i="2"/>
  <c r="K16" i="2"/>
  <c r="J16" i="2"/>
  <c r="I16" i="2"/>
  <c r="L15" i="2"/>
  <c r="K15" i="2"/>
  <c r="J15" i="2"/>
  <c r="I15" i="2"/>
  <c r="L14" i="2"/>
  <c r="K14" i="2"/>
  <c r="J14" i="2"/>
  <c r="I14" i="2"/>
  <c r="L13" i="2"/>
  <c r="K13" i="2"/>
  <c r="J13" i="2"/>
  <c r="I13" i="2"/>
  <c r="L12" i="2"/>
  <c r="K12" i="2"/>
  <c r="J12" i="2"/>
  <c r="I12" i="2"/>
  <c r="L11" i="2"/>
  <c r="K11" i="2"/>
  <c r="J11" i="2"/>
  <c r="I11" i="2"/>
  <c r="L10" i="2"/>
  <c r="K10" i="2"/>
  <c r="J10" i="2"/>
  <c r="I10" i="2"/>
  <c r="L9" i="2"/>
  <c r="K9" i="2"/>
  <c r="J9" i="2"/>
  <c r="I9" i="2"/>
  <c r="L8" i="2"/>
  <c r="K8" i="2"/>
  <c r="J8" i="2"/>
  <c r="I8" i="2"/>
  <c r="L7" i="2"/>
  <c r="K7" i="2"/>
  <c r="J7" i="2"/>
  <c r="I7" i="2"/>
  <c r="L6" i="2"/>
  <c r="K6" i="2"/>
  <c r="J6" i="2"/>
  <c r="I6" i="2"/>
  <c r="L5" i="2"/>
  <c r="K5" i="2"/>
  <c r="J5" i="2"/>
  <c r="I5" i="2"/>
  <c r="L4" i="2"/>
  <c r="K4" i="2"/>
  <c r="J4" i="2"/>
  <c r="I4" i="2"/>
  <c r="L3" i="2"/>
  <c r="K3" i="2"/>
  <c r="J3" i="2"/>
  <c r="I3" i="2"/>
  <c r="L2" i="2"/>
  <c r="K2" i="2"/>
  <c r="J2" i="2"/>
  <c r="I2" i="2"/>
</calcChain>
</file>

<file path=xl/sharedStrings.xml><?xml version="1.0" encoding="utf-8"?>
<sst xmlns="http://schemas.openxmlformats.org/spreadsheetml/2006/main" count="206" uniqueCount="114">
  <si>
    <t>Product ID</t>
  </si>
  <si>
    <t>Product Name</t>
  </si>
  <si>
    <t>Cost Price
Total (USD)</t>
  </si>
  <si>
    <t>P101</t>
  </si>
  <si>
    <t>Laptop</t>
  </si>
  <si>
    <t>P102</t>
  </si>
  <si>
    <t>Monitor</t>
  </si>
  <si>
    <t>P103</t>
  </si>
  <si>
    <t>Keyboard</t>
  </si>
  <si>
    <t>P104</t>
  </si>
  <si>
    <t>Headphones</t>
  </si>
  <si>
    <t>P105</t>
  </si>
  <si>
    <t>Smartphone</t>
  </si>
  <si>
    <t>P106</t>
  </si>
  <si>
    <t>Tablet</t>
  </si>
  <si>
    <t>P107</t>
  </si>
  <si>
    <t>Router</t>
  </si>
  <si>
    <t>P108</t>
  </si>
  <si>
    <t>External Hard Drive</t>
  </si>
  <si>
    <t>P109</t>
  </si>
  <si>
    <t>Wireless Earbuds</t>
  </si>
  <si>
    <t>P110</t>
  </si>
  <si>
    <t>Webcam</t>
  </si>
  <si>
    <t>P111</t>
  </si>
  <si>
    <t>Desk Chair</t>
  </si>
  <si>
    <t>P112</t>
  </si>
  <si>
    <t>Desk Lamp</t>
  </si>
  <si>
    <t>P113</t>
  </si>
  <si>
    <t>USB Flash Drive</t>
  </si>
  <si>
    <t>P114</t>
  </si>
  <si>
    <t>Ethernet Cable</t>
  </si>
  <si>
    <t>P115</t>
  </si>
  <si>
    <t>Power Strip</t>
  </si>
  <si>
    <t>P116</t>
  </si>
  <si>
    <t>Wireless Mouse</t>
  </si>
  <si>
    <t>P117</t>
  </si>
  <si>
    <t>Gaming Keyboard</t>
  </si>
  <si>
    <t>P118</t>
  </si>
  <si>
    <t>Gaming Mouse</t>
  </si>
  <si>
    <t>P119</t>
  </si>
  <si>
    <t>Gaming Headset</t>
  </si>
  <si>
    <t>P120</t>
  </si>
  <si>
    <t>Gaming Chair</t>
  </si>
  <si>
    <t>P121</t>
  </si>
  <si>
    <t>Gaming Monitor</t>
  </si>
  <si>
    <t>P122</t>
  </si>
  <si>
    <t>Graphics Card</t>
  </si>
  <si>
    <t>P123</t>
  </si>
  <si>
    <t>CPU</t>
  </si>
  <si>
    <t>P124</t>
  </si>
  <si>
    <t>Motherboard</t>
  </si>
  <si>
    <t>P125</t>
  </si>
  <si>
    <t>RAM</t>
  </si>
  <si>
    <t>P126</t>
  </si>
  <si>
    <t>SSD</t>
  </si>
  <si>
    <t>P127</t>
  </si>
  <si>
    <t>HDD</t>
  </si>
  <si>
    <t>P128</t>
  </si>
  <si>
    <t>Power Supply</t>
  </si>
  <si>
    <t>P129</t>
  </si>
  <si>
    <t>PC Case</t>
  </si>
  <si>
    <t>P130</t>
  </si>
  <si>
    <t>CPU Cooler</t>
  </si>
  <si>
    <t>P131</t>
  </si>
  <si>
    <t>Monitor Stand</t>
  </si>
  <si>
    <t>P132</t>
  </si>
  <si>
    <t>Mouse Pad</t>
  </si>
  <si>
    <t>P133</t>
  </si>
  <si>
    <t>Thermal Paste</t>
  </si>
  <si>
    <t>P134</t>
  </si>
  <si>
    <t>Cable Management Kit</t>
  </si>
  <si>
    <t>P135</t>
  </si>
  <si>
    <t>WiFi Adapter</t>
  </si>
  <si>
    <t>P136</t>
  </si>
  <si>
    <t>External DVD Drive</t>
  </si>
  <si>
    <t>P137</t>
  </si>
  <si>
    <t>Printer Cable</t>
  </si>
  <si>
    <t>P138</t>
  </si>
  <si>
    <t>Keyboard Cleaner</t>
  </si>
  <si>
    <t>P139</t>
  </si>
  <si>
    <t>Laptop Cooling Pad</t>
  </si>
  <si>
    <t>P140</t>
  </si>
  <si>
    <t>USB Hub</t>
  </si>
  <si>
    <t>P141</t>
  </si>
  <si>
    <t>Anti-Glare Screen Protector</t>
  </si>
  <si>
    <t>P142</t>
  </si>
  <si>
    <t>USB-C Adapter</t>
  </si>
  <si>
    <t>P143</t>
  </si>
  <si>
    <t>Laptop Sleeve</t>
  </si>
  <si>
    <t>P144</t>
  </si>
  <si>
    <t>Wireless Charger</t>
  </si>
  <si>
    <t>P145</t>
  </si>
  <si>
    <t>USB-C Cable</t>
  </si>
  <si>
    <t>P146</t>
  </si>
  <si>
    <t>Gaming Desk</t>
  </si>
  <si>
    <t>Opening Stock</t>
  </si>
  <si>
    <t>Purchase/Stock in</t>
  </si>
  <si>
    <t>Number of Units Sold</t>
  </si>
  <si>
    <t>Hand-In-Stock</t>
  </si>
  <si>
    <t>Cost Price Per Unit (USD)</t>
  </si>
  <si>
    <t>Closing Stock</t>
  </si>
  <si>
    <t>Inventry Value</t>
  </si>
  <si>
    <t>Stock Status</t>
  </si>
  <si>
    <t>Row Labels</t>
  </si>
  <si>
    <t>Grand Total</t>
  </si>
  <si>
    <t>Sum of Number of Units Sold</t>
  </si>
  <si>
    <t>Sum of Inventry Value</t>
  </si>
  <si>
    <t>Total Sales</t>
  </si>
  <si>
    <t>Sum of Total Sales</t>
  </si>
  <si>
    <t>Normal</t>
  </si>
  <si>
    <t>Count of Product ID</t>
  </si>
  <si>
    <t>Sum of Purchase/Stock in</t>
  </si>
  <si>
    <t>Low</t>
  </si>
  <si>
    <t>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</si>
</sst>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sz val="11"/>
      <color theme="1"/>
      <name val="Calibri"/>
      <family val="2"/>
    </font>
    <font>
      <b/>
      <sz val="12"/>
      <color rgb="FFFFFFFF"/>
      <name val="Calibri"/>
      <family val="2"/>
    </font>
    <font>
      <sz val="11"/>
      <color rgb="FF000000"/>
      <name val="Calibri"/>
      <family val="2"/>
    </font>
  </fonts>
  <fills count="4">
    <fill>
      <patternFill patternType="none"/>
    </fill>
    <fill>
      <patternFill patternType="gray125"/>
    </fill>
    <fill>
      <patternFill patternType="solid">
        <fgColor rgb="FF272760"/>
        <bgColor indexed="64"/>
      </patternFill>
    </fill>
    <fill>
      <patternFill patternType="solid">
        <fgColor rgb="FF02033D"/>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7">
    <xf numFmtId="0" fontId="0" fillId="0" borderId="0" xfId="0"/>
    <xf numFmtId="0" fontId="1" fillId="0" borderId="0" xfId="0" applyFont="1"/>
    <xf numFmtId="0" fontId="3" fillId="0" borderId="1" xfId="0" applyFont="1" applyBorder="1" applyAlignment="1">
      <alignment horizontal="center" vertical="center"/>
    </xf>
    <xf numFmtId="0" fontId="1" fillId="0" borderId="1" xfId="0" applyFont="1" applyBorder="1" applyAlignment="1">
      <alignment horizontal="center"/>
    </xf>
    <xf numFmtId="0" fontId="3" fillId="0" borderId="2" xfId="0" applyFont="1" applyBorder="1" applyAlignment="1">
      <alignment horizontal="center" vertical="center"/>
    </xf>
    <xf numFmtId="0" fontId="1" fillId="0" borderId="3" xfId="0" applyFont="1" applyBorder="1" applyAlignment="1">
      <alignment horizont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1" fillId="0" borderId="8" xfId="0" applyFont="1" applyBorder="1" applyAlignment="1">
      <alignment horizontal="center"/>
    </xf>
    <xf numFmtId="0" fontId="1" fillId="0" borderId="9" xfId="0" applyFont="1" applyBorder="1" applyAlignment="1">
      <alignment horizontal="center"/>
    </xf>
    <xf numFmtId="0" fontId="0" fillId="0" borderId="0" xfId="0" pivotButton="1"/>
    <xf numFmtId="0" fontId="0" fillId="0" borderId="0" xfId="0" applyAlignment="1">
      <alignment horizontal="left"/>
    </xf>
    <xf numFmtId="0" fontId="0" fillId="3" borderId="0" xfId="0" applyFill="1"/>
    <xf numFmtId="0" fontId="0" fillId="0" borderId="0" xfId="0" applyNumberFormat="1"/>
  </cellXfs>
  <cellStyles count="1">
    <cellStyle name="Normal" xfId="0" builtinId="0"/>
  </cellStyles>
  <dxfs count="16">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rgb="FFFFFFFF"/>
        <name val="Calibri"/>
        <family val="2"/>
        <scheme val="none"/>
      </font>
      <fill>
        <patternFill patternType="solid">
          <fgColor indexed="64"/>
          <bgColor rgb="FF272760"/>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Invisible" pivot="0" table="0" count="0" xr9:uid="{C3D188D8-C57E-4F5F-868B-7F9CBA5D225C}"/>
  </tableStyles>
  <colors>
    <mruColors>
      <color rgb="FF128CFF"/>
      <color rgb="FFE66B37"/>
      <color rgb="FFFF6600"/>
      <color rgb="FF02033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[Inventory-Records-Sample-Data.xlsx]Sheet1!PivotTable1</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Number</a:t>
            </a:r>
            <a:r>
              <a:rPr lang="en-US" baseline="0">
                <a:solidFill>
                  <a:schemeClr val="bg1"/>
                </a:solidFill>
              </a:rPr>
              <a:t> Of Unit Sold</a:t>
            </a:r>
            <a:endParaRPr lang="en-US">
              <a:solidFill>
                <a:schemeClr val="bg1"/>
              </a:solidFill>
            </a:endParaRPr>
          </a:p>
        </c:rich>
      </c:tx>
      <c:layout>
        <c:manualLayout>
          <c:xMode val="edge"/>
          <c:yMode val="edge"/>
          <c:x val="0.34399300087489065"/>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28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060594589137894"/>
          <c:y val="0.17812918602284258"/>
          <c:w val="0.62431605424321956"/>
          <c:h val="0.72125801983085447"/>
        </c:manualLayout>
      </c:layout>
      <c:barChart>
        <c:barDir val="bar"/>
        <c:grouping val="clustered"/>
        <c:varyColors val="0"/>
        <c:ser>
          <c:idx val="0"/>
          <c:order val="0"/>
          <c:tx>
            <c:strRef>
              <c:f>Sheet1!$B$3</c:f>
              <c:strCache>
                <c:ptCount val="1"/>
                <c:pt idx="0">
                  <c:v>Total</c:v>
                </c:pt>
              </c:strCache>
            </c:strRef>
          </c:tx>
          <c:spPr>
            <a:solidFill>
              <a:srgbClr val="128CFF"/>
            </a:solidFill>
            <a:ln>
              <a:noFill/>
            </a:ln>
            <a:effectLst/>
          </c:spPr>
          <c:invertIfNegative val="0"/>
          <c:cat>
            <c:strRef>
              <c:f>Sheet1!$A$4:$A$17</c:f>
              <c:strCache>
                <c:ptCount val="13"/>
                <c:pt idx="0">
                  <c:v>Ethernet Cable</c:v>
                </c:pt>
                <c:pt idx="1">
                  <c:v>Graphics Card</c:v>
                </c:pt>
                <c:pt idx="2">
                  <c:v>HDD</c:v>
                </c:pt>
                <c:pt idx="3">
                  <c:v>Keyboard</c:v>
                </c:pt>
                <c:pt idx="4">
                  <c:v>Keyboard Cleaner</c:v>
                </c:pt>
                <c:pt idx="5">
                  <c:v>Laptop</c:v>
                </c:pt>
                <c:pt idx="6">
                  <c:v>PC Case</c:v>
                </c:pt>
                <c:pt idx="7">
                  <c:v>RAM</c:v>
                </c:pt>
                <c:pt idx="8">
                  <c:v>Router</c:v>
                </c:pt>
                <c:pt idx="9">
                  <c:v>Smartphone</c:v>
                </c:pt>
                <c:pt idx="10">
                  <c:v>USB Flash Drive</c:v>
                </c:pt>
                <c:pt idx="11">
                  <c:v>USB-C Cable</c:v>
                </c:pt>
                <c:pt idx="12">
                  <c:v>Webcam</c:v>
                </c:pt>
              </c:strCache>
            </c:strRef>
          </c:cat>
          <c:val>
            <c:numRef>
              <c:f>Sheet1!$B$4:$B$17</c:f>
              <c:numCache>
                <c:formatCode>General</c:formatCode>
                <c:ptCount val="13"/>
                <c:pt idx="0">
                  <c:v>15</c:v>
                </c:pt>
                <c:pt idx="1">
                  <c:v>9</c:v>
                </c:pt>
                <c:pt idx="2">
                  <c:v>12</c:v>
                </c:pt>
                <c:pt idx="3">
                  <c:v>15</c:v>
                </c:pt>
                <c:pt idx="4">
                  <c:v>9</c:v>
                </c:pt>
                <c:pt idx="5">
                  <c:v>10</c:v>
                </c:pt>
                <c:pt idx="6">
                  <c:v>9</c:v>
                </c:pt>
                <c:pt idx="7">
                  <c:v>11</c:v>
                </c:pt>
                <c:pt idx="8">
                  <c:v>12</c:v>
                </c:pt>
                <c:pt idx="9">
                  <c:v>20</c:v>
                </c:pt>
                <c:pt idx="10">
                  <c:v>12</c:v>
                </c:pt>
                <c:pt idx="11">
                  <c:v>9</c:v>
                </c:pt>
                <c:pt idx="12">
                  <c:v>10</c:v>
                </c:pt>
              </c:numCache>
            </c:numRef>
          </c:val>
          <c:extLst>
            <c:ext xmlns:c16="http://schemas.microsoft.com/office/drawing/2014/chart" uri="{C3380CC4-5D6E-409C-BE32-E72D297353CC}">
              <c16:uniqueId val="{00000000-165F-48B1-AE17-56B37E41FF56}"/>
            </c:ext>
          </c:extLst>
        </c:ser>
        <c:dLbls>
          <c:showLegendKey val="0"/>
          <c:showVal val="0"/>
          <c:showCatName val="0"/>
          <c:showSerName val="0"/>
          <c:showPercent val="0"/>
          <c:showBubbleSize val="0"/>
        </c:dLbls>
        <c:gapWidth val="182"/>
        <c:axId val="250555327"/>
        <c:axId val="250558207"/>
      </c:barChart>
      <c:catAx>
        <c:axId val="250555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0558207"/>
        <c:crosses val="autoZero"/>
        <c:auto val="1"/>
        <c:lblAlgn val="ctr"/>
        <c:lblOffset val="100"/>
        <c:noMultiLvlLbl val="0"/>
      </c:catAx>
      <c:valAx>
        <c:axId val="2505582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555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[Inventory-Records-Sample-Data.xlsx]Sheet1!PivotTable2</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Total</a:t>
            </a:r>
            <a:r>
              <a:rPr lang="en-US" baseline="0">
                <a:solidFill>
                  <a:schemeClr val="bg1"/>
                </a:solidFill>
              </a:rPr>
              <a:t> Invebtry Value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28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Sheet1!$E$3</c:f>
              <c:strCache>
                <c:ptCount val="1"/>
                <c:pt idx="0">
                  <c:v>Total</c:v>
                </c:pt>
              </c:strCache>
            </c:strRef>
          </c:tx>
          <c:spPr>
            <a:solidFill>
              <a:srgbClr val="128CFF"/>
            </a:solidFill>
            <a:ln>
              <a:noFill/>
            </a:ln>
            <a:effectLst/>
          </c:spPr>
          <c:invertIfNegative val="0"/>
          <c:cat>
            <c:strRef>
              <c:f>Sheet1!$D$4:$D$15</c:f>
              <c:strCache>
                <c:ptCount val="11"/>
                <c:pt idx="0">
                  <c:v>CPU</c:v>
                </c:pt>
                <c:pt idx="1">
                  <c:v>External Hard Drive</c:v>
                </c:pt>
                <c:pt idx="2">
                  <c:v>Gaming Monitor</c:v>
                </c:pt>
                <c:pt idx="3">
                  <c:v>Graphics Card</c:v>
                </c:pt>
                <c:pt idx="4">
                  <c:v>Laptop</c:v>
                </c:pt>
                <c:pt idx="5">
                  <c:v>Monitor</c:v>
                </c:pt>
                <c:pt idx="6">
                  <c:v>Motherboard</c:v>
                </c:pt>
                <c:pt idx="7">
                  <c:v>Router</c:v>
                </c:pt>
                <c:pt idx="8">
                  <c:v>Smartphone</c:v>
                </c:pt>
                <c:pt idx="9">
                  <c:v>SSD</c:v>
                </c:pt>
                <c:pt idx="10">
                  <c:v>Tablet</c:v>
                </c:pt>
              </c:strCache>
            </c:strRef>
          </c:cat>
          <c:val>
            <c:numRef>
              <c:f>Sheet1!$E$4:$E$15</c:f>
              <c:numCache>
                <c:formatCode>General</c:formatCode>
                <c:ptCount val="11"/>
                <c:pt idx="0">
                  <c:v>13300</c:v>
                </c:pt>
                <c:pt idx="1">
                  <c:v>6400</c:v>
                </c:pt>
                <c:pt idx="2">
                  <c:v>12400</c:v>
                </c:pt>
                <c:pt idx="3">
                  <c:v>29400</c:v>
                </c:pt>
                <c:pt idx="4">
                  <c:v>72000</c:v>
                </c:pt>
                <c:pt idx="5">
                  <c:v>25000</c:v>
                </c:pt>
                <c:pt idx="6">
                  <c:v>6400</c:v>
                </c:pt>
                <c:pt idx="7">
                  <c:v>9750</c:v>
                </c:pt>
                <c:pt idx="8">
                  <c:v>72000</c:v>
                </c:pt>
                <c:pt idx="9">
                  <c:v>6840</c:v>
                </c:pt>
                <c:pt idx="10">
                  <c:v>38500</c:v>
                </c:pt>
              </c:numCache>
            </c:numRef>
          </c:val>
          <c:extLst>
            <c:ext xmlns:c16="http://schemas.microsoft.com/office/drawing/2014/chart" uri="{C3380CC4-5D6E-409C-BE32-E72D297353CC}">
              <c16:uniqueId val="{00000000-4F0F-4CCC-B8CC-D26713037952}"/>
            </c:ext>
          </c:extLst>
        </c:ser>
        <c:dLbls>
          <c:showLegendKey val="0"/>
          <c:showVal val="0"/>
          <c:showCatName val="0"/>
          <c:showSerName val="0"/>
          <c:showPercent val="0"/>
          <c:showBubbleSize val="0"/>
        </c:dLbls>
        <c:gapWidth val="219"/>
        <c:overlap val="-27"/>
        <c:axId val="250574527"/>
        <c:axId val="250575007"/>
      </c:barChart>
      <c:catAx>
        <c:axId val="25057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0575007"/>
        <c:crosses val="autoZero"/>
        <c:auto val="1"/>
        <c:lblAlgn val="ctr"/>
        <c:lblOffset val="100"/>
        <c:noMultiLvlLbl val="0"/>
      </c:catAx>
      <c:valAx>
        <c:axId val="250575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057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[Inventory-Records-Sample-Data.xlsx]Sheet1!PivotTable4</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Total</a:t>
            </a:r>
            <a:r>
              <a:rPr lang="en-US" baseline="0">
                <a:solidFill>
                  <a:schemeClr val="bg1"/>
                </a:solidFill>
              </a:rPr>
              <a:t> Sales By Product</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66B37"/>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Sheet1!$H$3</c:f>
              <c:strCache>
                <c:ptCount val="1"/>
                <c:pt idx="0">
                  <c:v>Total</c:v>
                </c:pt>
              </c:strCache>
            </c:strRef>
          </c:tx>
          <c:spPr>
            <a:solidFill>
              <a:srgbClr val="E66B37"/>
            </a:solidFill>
            <a:ln>
              <a:noFill/>
            </a:ln>
            <a:effectLst/>
            <a:sp3d/>
          </c:spPr>
          <c:invertIfNegative val="0"/>
          <c:cat>
            <c:strRef>
              <c:f>Sheet1!$G$4:$G$10</c:f>
              <c:strCache>
                <c:ptCount val="6"/>
                <c:pt idx="0">
                  <c:v>CPU</c:v>
                </c:pt>
                <c:pt idx="1">
                  <c:v>Graphics Card</c:v>
                </c:pt>
                <c:pt idx="2">
                  <c:v>Laptop</c:v>
                </c:pt>
                <c:pt idx="3">
                  <c:v>Monitor</c:v>
                </c:pt>
                <c:pt idx="4">
                  <c:v>Smartphone</c:v>
                </c:pt>
                <c:pt idx="5">
                  <c:v>Tablet</c:v>
                </c:pt>
              </c:strCache>
            </c:strRef>
          </c:cat>
          <c:val>
            <c:numRef>
              <c:f>Sheet1!$H$4:$H$10</c:f>
              <c:numCache>
                <c:formatCode>General</c:formatCode>
                <c:ptCount val="6"/>
                <c:pt idx="0">
                  <c:v>2450</c:v>
                </c:pt>
                <c:pt idx="1">
                  <c:v>5400</c:v>
                </c:pt>
                <c:pt idx="2">
                  <c:v>12000</c:v>
                </c:pt>
                <c:pt idx="3">
                  <c:v>2500</c:v>
                </c:pt>
                <c:pt idx="4">
                  <c:v>18000</c:v>
                </c:pt>
                <c:pt idx="5">
                  <c:v>5600</c:v>
                </c:pt>
              </c:numCache>
            </c:numRef>
          </c:val>
          <c:extLst>
            <c:ext xmlns:c16="http://schemas.microsoft.com/office/drawing/2014/chart" uri="{C3380CC4-5D6E-409C-BE32-E72D297353CC}">
              <c16:uniqueId val="{00000000-BD07-4158-A03D-F2872B161A66}"/>
            </c:ext>
          </c:extLst>
        </c:ser>
        <c:dLbls>
          <c:showLegendKey val="0"/>
          <c:showVal val="0"/>
          <c:showCatName val="0"/>
          <c:showSerName val="0"/>
          <c:showPercent val="0"/>
          <c:showBubbleSize val="0"/>
        </c:dLbls>
        <c:gapWidth val="150"/>
        <c:shape val="box"/>
        <c:axId val="250540927"/>
        <c:axId val="250538527"/>
        <c:axId val="0"/>
      </c:bar3DChart>
      <c:catAx>
        <c:axId val="250540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0538527"/>
        <c:crosses val="autoZero"/>
        <c:auto val="1"/>
        <c:lblAlgn val="ctr"/>
        <c:lblOffset val="100"/>
        <c:noMultiLvlLbl val="0"/>
      </c:catAx>
      <c:valAx>
        <c:axId val="250538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0540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[Inventory-Records-Sample-Data.xlsx]Sheet1!PivotTable8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rPr>
              <a:t>Sold</a:t>
            </a:r>
            <a:r>
              <a:rPr lang="en-IN" baseline="0">
                <a:solidFill>
                  <a:schemeClr val="bg1"/>
                </a:solidFill>
              </a:rPr>
              <a:t> Stock Status</a:t>
            </a:r>
            <a:endParaRPr lang="en-IN">
              <a:solidFill>
                <a:schemeClr val="bg1"/>
              </a:solidFill>
            </a:endParaRPr>
          </a:p>
        </c:rich>
      </c:tx>
      <c:layout>
        <c:manualLayout>
          <c:xMode val="edge"/>
          <c:yMode val="edge"/>
          <c:x val="0.29559011373578303"/>
          <c:y val="3.6016331291921846E-2"/>
        </c:manualLayout>
      </c:layout>
      <c:overlay val="0"/>
      <c:spPr>
        <a:noFill/>
        <a:ln cap="flat">
          <a:solidFill>
            <a:schemeClr val="accent1">
              <a:alpha val="99000"/>
            </a:schemeClr>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w="19050">
            <a:solidFill>
              <a:schemeClr val="lt1"/>
            </a:solidFill>
          </a:ln>
          <a:effectLst/>
        </c:spPr>
      </c:pivotFmt>
      <c:pivotFmt>
        <c:idx val="7"/>
        <c:spPr>
          <a:solidFill>
            <a:srgbClr val="C00000"/>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2019672131147541"/>
          <c:y val="0.18097222222222226"/>
          <c:w val="0.45877049180327867"/>
          <c:h val="0.77736111111111106"/>
        </c:manualLayout>
      </c:layout>
      <c:pieChart>
        <c:varyColors val="1"/>
        <c:ser>
          <c:idx val="0"/>
          <c:order val="0"/>
          <c:tx>
            <c:strRef>
              <c:f>Sheet1!$K$3</c:f>
              <c:strCache>
                <c:ptCount val="1"/>
                <c:pt idx="0">
                  <c:v>Total</c:v>
                </c:pt>
              </c:strCache>
            </c:strRef>
          </c:tx>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297F-4AC8-A099-B063D50A454F}"/>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297F-4AC8-A099-B063D50A45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97F-4AC8-A099-B063D50A454F}"/>
              </c:ext>
            </c:extLst>
          </c:dPt>
          <c:cat>
            <c:strRef>
              <c:f>Sheet1!$J$4:$J$7</c:f>
              <c:strCache>
                <c:ptCount val="3"/>
                <c:pt idx="0">
                  <c:v>High</c:v>
                </c:pt>
                <c:pt idx="1">
                  <c:v>Low</c:v>
                </c:pt>
                <c:pt idx="2">
                  <c:v>Normal</c:v>
                </c:pt>
              </c:strCache>
            </c:strRef>
          </c:cat>
          <c:val>
            <c:numRef>
              <c:f>Sheet1!$K$4:$K$7</c:f>
              <c:numCache>
                <c:formatCode>General</c:formatCode>
                <c:ptCount val="3"/>
                <c:pt idx="0">
                  <c:v>14</c:v>
                </c:pt>
                <c:pt idx="1">
                  <c:v>2</c:v>
                </c:pt>
                <c:pt idx="2">
                  <c:v>30</c:v>
                </c:pt>
              </c:numCache>
            </c:numRef>
          </c:val>
          <c:extLst>
            <c:ext xmlns:c16="http://schemas.microsoft.com/office/drawing/2014/chart" uri="{C3380CC4-5D6E-409C-BE32-E72D297353CC}">
              <c16:uniqueId val="{00000006-297F-4AC8-A099-B063D50A454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[Inventory-Records-Sample-Data.xlsx]Sheet1!PivotTable9</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New</a:t>
            </a:r>
            <a:r>
              <a:rPr lang="en-US" baseline="0">
                <a:solidFill>
                  <a:schemeClr val="bg1"/>
                </a:solidFill>
              </a:rPr>
              <a:t> Purchasing Stock of top 5</a:t>
            </a:r>
            <a:endParaRPr lang="en-US">
              <a:solidFill>
                <a:schemeClr val="bg1"/>
              </a:solidFill>
            </a:endParaRPr>
          </a:p>
        </c:rich>
      </c:tx>
      <c:layout>
        <c:manualLayout>
          <c:xMode val="edge"/>
          <c:yMode val="edge"/>
          <c:x val="0.21609896823241923"/>
          <c:y val="2.91970802919708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28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959634356050322"/>
          <c:y val="0.1902189781021898"/>
          <c:w val="0.63209408091229979"/>
          <c:h val="0.70701572887330688"/>
        </c:manualLayout>
      </c:layout>
      <c:barChart>
        <c:barDir val="bar"/>
        <c:grouping val="clustered"/>
        <c:varyColors val="0"/>
        <c:ser>
          <c:idx val="0"/>
          <c:order val="0"/>
          <c:tx>
            <c:strRef>
              <c:f>Sheet1!$H$14</c:f>
              <c:strCache>
                <c:ptCount val="1"/>
                <c:pt idx="0">
                  <c:v>Total</c:v>
                </c:pt>
              </c:strCache>
            </c:strRef>
          </c:tx>
          <c:spPr>
            <a:solidFill>
              <a:srgbClr val="128CFF"/>
            </a:solidFill>
            <a:ln>
              <a:noFill/>
            </a:ln>
            <a:effectLst/>
          </c:spPr>
          <c:invertIfNegative val="0"/>
          <c:cat>
            <c:strRef>
              <c:f>Sheet1!$G$15:$G$22</c:f>
              <c:strCache>
                <c:ptCount val="7"/>
                <c:pt idx="0">
                  <c:v>Ethernet Cable</c:v>
                </c:pt>
                <c:pt idx="1">
                  <c:v>HDD</c:v>
                </c:pt>
                <c:pt idx="2">
                  <c:v>Keyboard</c:v>
                </c:pt>
                <c:pt idx="3">
                  <c:v>RAM</c:v>
                </c:pt>
                <c:pt idx="4">
                  <c:v>Router</c:v>
                </c:pt>
                <c:pt idx="5">
                  <c:v>Smartphone</c:v>
                </c:pt>
                <c:pt idx="6">
                  <c:v>USB Flash Drive</c:v>
                </c:pt>
              </c:strCache>
            </c:strRef>
          </c:cat>
          <c:val>
            <c:numRef>
              <c:f>Sheet1!$H$15:$H$22</c:f>
              <c:numCache>
                <c:formatCode>General</c:formatCode>
                <c:ptCount val="7"/>
                <c:pt idx="0">
                  <c:v>30</c:v>
                </c:pt>
                <c:pt idx="1">
                  <c:v>25</c:v>
                </c:pt>
                <c:pt idx="2">
                  <c:v>25</c:v>
                </c:pt>
                <c:pt idx="3">
                  <c:v>22</c:v>
                </c:pt>
                <c:pt idx="4">
                  <c:v>22</c:v>
                </c:pt>
                <c:pt idx="5">
                  <c:v>30</c:v>
                </c:pt>
                <c:pt idx="6">
                  <c:v>25</c:v>
                </c:pt>
              </c:numCache>
            </c:numRef>
          </c:val>
          <c:extLst>
            <c:ext xmlns:c16="http://schemas.microsoft.com/office/drawing/2014/chart" uri="{C3380CC4-5D6E-409C-BE32-E72D297353CC}">
              <c16:uniqueId val="{00000000-C16B-40E5-8349-E281062CE3AA}"/>
            </c:ext>
          </c:extLst>
        </c:ser>
        <c:dLbls>
          <c:showLegendKey val="0"/>
          <c:showVal val="0"/>
          <c:showCatName val="0"/>
          <c:showSerName val="0"/>
          <c:showPercent val="0"/>
          <c:showBubbleSize val="0"/>
        </c:dLbls>
        <c:gapWidth val="182"/>
        <c:axId val="118172431"/>
        <c:axId val="118168591"/>
      </c:barChart>
      <c:catAx>
        <c:axId val="118172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8168591"/>
        <c:crosses val="autoZero"/>
        <c:auto val="1"/>
        <c:lblAlgn val="ctr"/>
        <c:lblOffset val="100"/>
        <c:noMultiLvlLbl val="0"/>
      </c:catAx>
      <c:valAx>
        <c:axId val="118168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8172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295276</xdr:colOff>
      <xdr:row>4</xdr:row>
      <xdr:rowOff>152400</xdr:rowOff>
    </xdr:from>
    <xdr:to>
      <xdr:col>9</xdr:col>
      <xdr:colOff>600076</xdr:colOff>
      <xdr:row>18</xdr:row>
      <xdr:rowOff>133349</xdr:rowOff>
    </xdr:to>
    <xdr:graphicFrame macro="">
      <xdr:nvGraphicFramePr>
        <xdr:cNvPr id="2" name="Chart 1">
          <a:extLst>
            <a:ext uri="{FF2B5EF4-FFF2-40B4-BE49-F238E27FC236}">
              <a16:creationId xmlns:a16="http://schemas.microsoft.com/office/drawing/2014/main" id="{71F78A41-4277-4BEC-B0D6-179B3C32AC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247650</xdr:colOff>
      <xdr:row>19</xdr:row>
      <xdr:rowOff>38099</xdr:rowOff>
    </xdr:from>
    <xdr:to>
      <xdr:col>13</xdr:col>
      <xdr:colOff>352425</xdr:colOff>
      <xdr:row>34</xdr:row>
      <xdr:rowOff>171450</xdr:rowOff>
    </xdr:to>
    <xdr:graphicFrame macro="">
      <xdr:nvGraphicFramePr>
        <xdr:cNvPr id="3" name="Chart 2">
          <a:extLst>
            <a:ext uri="{FF2B5EF4-FFF2-40B4-BE49-F238E27FC236}">
              <a16:creationId xmlns:a16="http://schemas.microsoft.com/office/drawing/2014/main" id="{9FEDD391-788B-44BE-A50A-BD29EAF6BE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457200</xdr:colOff>
      <xdr:row>19</xdr:row>
      <xdr:rowOff>57150</xdr:rowOff>
    </xdr:from>
    <xdr:to>
      <xdr:col>23</xdr:col>
      <xdr:colOff>561976</xdr:colOff>
      <xdr:row>34</xdr:row>
      <xdr:rowOff>123825</xdr:rowOff>
    </xdr:to>
    <xdr:graphicFrame macro="">
      <xdr:nvGraphicFramePr>
        <xdr:cNvPr id="4" name="Chart 3">
          <a:extLst>
            <a:ext uri="{FF2B5EF4-FFF2-40B4-BE49-F238E27FC236}">
              <a16:creationId xmlns:a16="http://schemas.microsoft.com/office/drawing/2014/main" id="{C54D0ED1-E1A0-437D-A3C5-EDFF92935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123825</xdr:colOff>
      <xdr:row>5</xdr:row>
      <xdr:rowOff>9525</xdr:rowOff>
    </xdr:from>
    <xdr:to>
      <xdr:col>16</xdr:col>
      <xdr:colOff>533399</xdr:colOff>
      <xdr:row>18</xdr:row>
      <xdr:rowOff>123824</xdr:rowOff>
    </xdr:to>
    <xdr:graphicFrame macro="">
      <xdr:nvGraphicFramePr>
        <xdr:cNvPr id="5" name="Chart 4">
          <a:extLst>
            <a:ext uri="{FF2B5EF4-FFF2-40B4-BE49-F238E27FC236}">
              <a16:creationId xmlns:a16="http://schemas.microsoft.com/office/drawing/2014/main" id="{8C68056C-16D6-4F53-8C2E-FC159E8A7E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28575</xdr:colOff>
      <xdr:row>4</xdr:row>
      <xdr:rowOff>171450</xdr:rowOff>
    </xdr:from>
    <xdr:to>
      <xdr:col>23</xdr:col>
      <xdr:colOff>533401</xdr:colOff>
      <xdr:row>18</xdr:row>
      <xdr:rowOff>114300</xdr:rowOff>
    </xdr:to>
    <xdr:graphicFrame macro="">
      <xdr:nvGraphicFramePr>
        <xdr:cNvPr id="6" name="Chart 5">
          <a:extLst>
            <a:ext uri="{FF2B5EF4-FFF2-40B4-BE49-F238E27FC236}">
              <a16:creationId xmlns:a16="http://schemas.microsoft.com/office/drawing/2014/main" id="{C45E7E9C-7AD9-4175-9C21-83B903E8F2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180975</xdr:colOff>
      <xdr:row>4</xdr:row>
      <xdr:rowOff>171450</xdr:rowOff>
    </xdr:from>
    <xdr:to>
      <xdr:col>3</xdr:col>
      <xdr:colOff>180975</xdr:colOff>
      <xdr:row>11</xdr:row>
      <xdr:rowOff>123825</xdr:rowOff>
    </xdr:to>
    <mc:AlternateContent xmlns:mc="http://schemas.openxmlformats.org/markup-compatibility/2006" xmlns:a14="http://schemas.microsoft.com/office/drawing/2010/main">
      <mc:Choice Requires="a14">
        <xdr:graphicFrame macro="">
          <xdr:nvGraphicFramePr>
            <xdr:cNvPr id="8" name="Stock Status">
              <a:extLst>
                <a:ext uri="{FF2B5EF4-FFF2-40B4-BE49-F238E27FC236}">
                  <a16:creationId xmlns:a16="http://schemas.microsoft.com/office/drawing/2014/main" id="{25C5576E-1963-4DEB-8564-7228F77CF4C6}"/>
                </a:ext>
              </a:extLst>
            </xdr:cNvPr>
            <xdr:cNvGraphicFramePr/>
          </xdr:nvGraphicFramePr>
          <xdr:xfrm>
            <a:off x="0" y="0"/>
            <a:ext cx="0" cy="0"/>
          </xdr:xfrm>
          <a:graphic>
            <a:graphicData uri="http://schemas.microsoft.com/office/drawing/2010/slicer">
              <sle:slicer xmlns:sle="http://schemas.microsoft.com/office/drawing/2010/slicer" name="Stock Status"/>
            </a:graphicData>
          </a:graphic>
        </xdr:graphicFrame>
      </mc:Choice>
      <mc:Fallback xmlns="">
        <xdr:sp macro="" textlink="">
          <xdr:nvSpPr>
            <xdr:cNvPr id="0" name=""/>
            <xdr:cNvSpPr>
              <a:spLocks noTextEdit="1"/>
            </xdr:cNvSpPr>
          </xdr:nvSpPr>
          <xdr:spPr>
            <a:xfrm>
              <a:off x="180975" y="933450"/>
              <a:ext cx="1828800" cy="1285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66674</xdr:colOff>
      <xdr:row>0</xdr:row>
      <xdr:rowOff>95250</xdr:rowOff>
    </xdr:from>
    <xdr:to>
      <xdr:col>10</xdr:col>
      <xdr:colOff>361949</xdr:colOff>
      <xdr:row>4</xdr:row>
      <xdr:rowOff>85725</xdr:rowOff>
    </xdr:to>
    <xdr:sp macro="" textlink="">
      <xdr:nvSpPr>
        <xdr:cNvPr id="9" name="Rectangle: Rounded Corners 8">
          <a:extLst>
            <a:ext uri="{FF2B5EF4-FFF2-40B4-BE49-F238E27FC236}">
              <a16:creationId xmlns:a16="http://schemas.microsoft.com/office/drawing/2014/main" id="{705AA3F6-C1CA-ED93-BD6E-5DDEEF036600}"/>
            </a:ext>
          </a:extLst>
        </xdr:cNvPr>
        <xdr:cNvSpPr/>
      </xdr:nvSpPr>
      <xdr:spPr>
        <a:xfrm>
          <a:off x="66674" y="95250"/>
          <a:ext cx="6391275" cy="752475"/>
        </a:xfrm>
        <a:prstGeom prst="roundRect">
          <a:avLst/>
        </a:prstGeom>
        <a:solidFill>
          <a:srgbClr val="128CFF"/>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IN" sz="1800">
              <a:effectLst>
                <a:reflection blurRad="6350" stA="55000" endA="50" endPos="85000" dist="29997" dir="5400000" sy="-100000" algn="bl" rotWithShape="0"/>
              </a:effectLst>
            </a:rPr>
            <a:t>Ecommerce Dashboad</a:t>
          </a:r>
        </a:p>
      </xdr:txBody>
    </xdr:sp>
    <xdr:clientData/>
  </xdr:twoCellAnchor>
  <xdr:twoCellAnchor>
    <xdr:from>
      <xdr:col>10</xdr:col>
      <xdr:colOff>438150</xdr:colOff>
      <xdr:row>0</xdr:row>
      <xdr:rowOff>123825</xdr:rowOff>
    </xdr:from>
    <xdr:to>
      <xdr:col>15</xdr:col>
      <xdr:colOff>47625</xdr:colOff>
      <xdr:row>4</xdr:row>
      <xdr:rowOff>95250</xdr:rowOff>
    </xdr:to>
    <xdr:sp macro="" textlink="">
      <xdr:nvSpPr>
        <xdr:cNvPr id="10" name="Rectangle: Rounded Corners 9">
          <a:extLst>
            <a:ext uri="{FF2B5EF4-FFF2-40B4-BE49-F238E27FC236}">
              <a16:creationId xmlns:a16="http://schemas.microsoft.com/office/drawing/2014/main" id="{A091BAB9-C28B-44A9-8736-5300EDD819DF}"/>
            </a:ext>
          </a:extLst>
        </xdr:cNvPr>
        <xdr:cNvSpPr/>
      </xdr:nvSpPr>
      <xdr:spPr>
        <a:xfrm>
          <a:off x="6534150" y="123825"/>
          <a:ext cx="2657475" cy="733425"/>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IN" sz="1800" b="0" cap="none" spc="0">
              <a:ln w="0"/>
              <a:solidFill>
                <a:schemeClr val="tx1"/>
              </a:solidFill>
              <a:effectLst>
                <a:outerShdw blurRad="38100" dist="19050" dir="2700000" algn="tl" rotWithShape="0">
                  <a:schemeClr val="dk1">
                    <a:alpha val="40000"/>
                  </a:schemeClr>
                </a:outerShdw>
              </a:effectLst>
            </a:rPr>
            <a:t>Total</a:t>
          </a:r>
          <a:r>
            <a:rPr lang="en-IN" sz="1800" b="0" cap="none" spc="0" baseline="0">
              <a:ln w="0"/>
              <a:solidFill>
                <a:schemeClr val="tx1"/>
              </a:solidFill>
              <a:effectLst>
                <a:outerShdw blurRad="38100" dist="19050" dir="2700000" algn="tl" rotWithShape="0">
                  <a:schemeClr val="dk1">
                    <a:alpha val="40000"/>
                  </a:schemeClr>
                </a:outerShdw>
              </a:effectLst>
            </a:rPr>
            <a:t> Sales</a:t>
          </a:r>
        </a:p>
        <a:p>
          <a:pPr algn="ctr"/>
          <a:r>
            <a:rPr lang="en-IN" sz="1800" b="0" cap="none" spc="0" baseline="0">
              <a:ln w="0"/>
              <a:solidFill>
                <a:schemeClr val="tx1"/>
              </a:solidFill>
              <a:effectLst>
                <a:outerShdw blurRad="38100" dist="19050" dir="2700000" algn="tl" rotWithShape="0">
                  <a:schemeClr val="dk1">
                    <a:alpha val="40000"/>
                  </a:schemeClr>
                </a:outerShdw>
              </a:effectLst>
            </a:rPr>
            <a:t>$ 62294</a:t>
          </a:r>
          <a:endParaRPr lang="en-IN" sz="18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15</xdr:col>
      <xdr:colOff>104775</xdr:colOff>
      <xdr:row>0</xdr:row>
      <xdr:rowOff>133350</xdr:rowOff>
    </xdr:from>
    <xdr:to>
      <xdr:col>19</xdr:col>
      <xdr:colOff>314325</xdr:colOff>
      <xdr:row>4</xdr:row>
      <xdr:rowOff>104775</xdr:rowOff>
    </xdr:to>
    <xdr:sp macro="" textlink="">
      <xdr:nvSpPr>
        <xdr:cNvPr id="11" name="Rectangle: Rounded Corners 10">
          <a:extLst>
            <a:ext uri="{FF2B5EF4-FFF2-40B4-BE49-F238E27FC236}">
              <a16:creationId xmlns:a16="http://schemas.microsoft.com/office/drawing/2014/main" id="{5A117DC2-782F-4909-A7DB-6ED6830A044D}"/>
            </a:ext>
          </a:extLst>
        </xdr:cNvPr>
        <xdr:cNvSpPr/>
      </xdr:nvSpPr>
      <xdr:spPr>
        <a:xfrm>
          <a:off x="9248775" y="133350"/>
          <a:ext cx="2647950" cy="733425"/>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IN" sz="1800" b="0" cap="none" spc="0">
              <a:ln w="0"/>
              <a:solidFill>
                <a:schemeClr val="tx1"/>
              </a:solidFill>
              <a:effectLst>
                <a:outerShdw blurRad="38100" dist="19050" dir="2700000" algn="tl" rotWithShape="0">
                  <a:schemeClr val="dk1">
                    <a:alpha val="40000"/>
                  </a:schemeClr>
                </a:outerShdw>
              </a:effectLst>
            </a:rPr>
            <a:t>Total</a:t>
          </a:r>
          <a:r>
            <a:rPr lang="en-IN" sz="1800" b="0" cap="none" spc="0" baseline="0">
              <a:ln w="0"/>
              <a:solidFill>
                <a:schemeClr val="tx1"/>
              </a:solidFill>
              <a:effectLst>
                <a:outerShdw blurRad="38100" dist="19050" dir="2700000" algn="tl" rotWithShape="0">
                  <a:schemeClr val="dk1">
                    <a:alpha val="40000"/>
                  </a:schemeClr>
                </a:outerShdw>
              </a:effectLst>
            </a:rPr>
            <a:t> Product</a:t>
          </a:r>
        </a:p>
        <a:p>
          <a:pPr algn="ctr"/>
          <a:r>
            <a:rPr lang="en-IN" sz="1800" b="0" cap="none" spc="0" baseline="0">
              <a:ln w="0"/>
              <a:solidFill>
                <a:schemeClr val="tx1"/>
              </a:solidFill>
              <a:effectLst>
                <a:outerShdw blurRad="38100" dist="19050" dir="2700000" algn="tl" rotWithShape="0">
                  <a:schemeClr val="dk1">
                    <a:alpha val="40000"/>
                  </a:schemeClr>
                </a:outerShdw>
              </a:effectLst>
            </a:rPr>
            <a:t> 822</a:t>
          </a:r>
          <a:endParaRPr lang="en-IN" sz="18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19</xdr:col>
      <xdr:colOff>390525</xdr:colOff>
      <xdr:row>0</xdr:row>
      <xdr:rowOff>133350</xdr:rowOff>
    </xdr:from>
    <xdr:to>
      <xdr:col>23</xdr:col>
      <xdr:colOff>542925</xdr:colOff>
      <xdr:row>4</xdr:row>
      <xdr:rowOff>104775</xdr:rowOff>
    </xdr:to>
    <xdr:sp macro="" textlink="">
      <xdr:nvSpPr>
        <xdr:cNvPr id="12" name="Rectangle: Rounded Corners 11">
          <a:extLst>
            <a:ext uri="{FF2B5EF4-FFF2-40B4-BE49-F238E27FC236}">
              <a16:creationId xmlns:a16="http://schemas.microsoft.com/office/drawing/2014/main" id="{302CD14F-E714-469D-BEEF-52183194970D}"/>
            </a:ext>
          </a:extLst>
        </xdr:cNvPr>
        <xdr:cNvSpPr/>
      </xdr:nvSpPr>
      <xdr:spPr>
        <a:xfrm>
          <a:off x="11972925" y="133350"/>
          <a:ext cx="2590800" cy="733425"/>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IN" sz="1800" b="0" cap="none" spc="0">
              <a:ln w="0"/>
              <a:solidFill>
                <a:schemeClr val="tx1"/>
              </a:solidFill>
              <a:effectLst>
                <a:outerShdw blurRad="38100" dist="19050" dir="2700000" algn="tl" rotWithShape="0">
                  <a:schemeClr val="dk1">
                    <a:alpha val="40000"/>
                  </a:schemeClr>
                </a:outerShdw>
              </a:effectLst>
            </a:rPr>
            <a:t>Total</a:t>
          </a:r>
          <a:r>
            <a:rPr lang="en-IN" sz="1800" b="0" cap="none" spc="0" baseline="0">
              <a:ln w="0"/>
              <a:solidFill>
                <a:schemeClr val="tx1"/>
              </a:solidFill>
              <a:effectLst>
                <a:outerShdw blurRad="38100" dist="19050" dir="2700000" algn="tl" rotWithShape="0">
                  <a:schemeClr val="dk1">
                    <a:alpha val="40000"/>
                  </a:schemeClr>
                </a:outerShdw>
              </a:effectLst>
            </a:rPr>
            <a:t> Inventry Value</a:t>
          </a:r>
        </a:p>
        <a:p>
          <a:pPr algn="ctr"/>
          <a:r>
            <a:rPr lang="en-IN" sz="1800" b="0" cap="none" spc="0" baseline="0">
              <a:ln w="0"/>
              <a:solidFill>
                <a:schemeClr val="tx1"/>
              </a:solidFill>
              <a:effectLst>
                <a:outerShdw blurRad="38100" dist="19050" dir="2700000" algn="tl" rotWithShape="0">
                  <a:schemeClr val="dk1">
                    <a:alpha val="40000"/>
                  </a:schemeClr>
                </a:outerShdw>
              </a:effectLst>
            </a:rPr>
            <a:t>$ 291990</a:t>
          </a:r>
          <a:endParaRPr lang="en-IN" sz="18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0</xdr:col>
      <xdr:colOff>190500</xdr:colOff>
      <xdr:row>12</xdr:row>
      <xdr:rowOff>114300</xdr:rowOff>
    </xdr:from>
    <xdr:to>
      <xdr:col>3</xdr:col>
      <xdr:colOff>190500</xdr:colOff>
      <xdr:row>26</xdr:row>
      <xdr:rowOff>114300</xdr:rowOff>
    </xdr:to>
    <mc:AlternateContent xmlns:mc="http://schemas.openxmlformats.org/markup-compatibility/2006" xmlns:a14="http://schemas.microsoft.com/office/drawing/2010/main">
      <mc:Choice Requires="a14">
        <xdr:graphicFrame macro="">
          <xdr:nvGraphicFramePr>
            <xdr:cNvPr id="13" name="Number of Units Sold">
              <a:extLst>
                <a:ext uri="{FF2B5EF4-FFF2-40B4-BE49-F238E27FC236}">
                  <a16:creationId xmlns:a16="http://schemas.microsoft.com/office/drawing/2014/main" id="{68B8268B-5CB0-4DFE-8EC4-DABF883BC20B}"/>
                </a:ext>
              </a:extLst>
            </xdr:cNvPr>
            <xdr:cNvGraphicFramePr/>
          </xdr:nvGraphicFramePr>
          <xdr:xfrm>
            <a:off x="0" y="0"/>
            <a:ext cx="0" cy="0"/>
          </xdr:xfrm>
          <a:graphic>
            <a:graphicData uri="http://schemas.microsoft.com/office/drawing/2010/slicer">
              <sle:slicer xmlns:sle="http://schemas.microsoft.com/office/drawing/2010/slicer" name="Number of Units Sold"/>
            </a:graphicData>
          </a:graphic>
        </xdr:graphicFrame>
      </mc:Choice>
      <mc:Fallback xmlns="">
        <xdr:sp macro="" textlink="">
          <xdr:nvSpPr>
            <xdr:cNvPr id="0" name=""/>
            <xdr:cNvSpPr>
              <a:spLocks noTextEdit="1"/>
            </xdr:cNvSpPr>
          </xdr:nvSpPr>
          <xdr:spPr>
            <a:xfrm>
              <a:off x="190500" y="24003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171450</xdr:colOff>
      <xdr:row>27</xdr:row>
      <xdr:rowOff>0</xdr:rowOff>
    </xdr:from>
    <xdr:to>
      <xdr:col>3</xdr:col>
      <xdr:colOff>171450</xdr:colOff>
      <xdr:row>35</xdr:row>
      <xdr:rowOff>9525</xdr:rowOff>
    </xdr:to>
    <mc:AlternateContent xmlns:mc="http://schemas.openxmlformats.org/markup-compatibility/2006">
      <mc:Choice xmlns:a14="http://schemas.microsoft.com/office/drawing/2010/main" Requires="a14">
        <xdr:graphicFrame macro="">
          <xdr:nvGraphicFramePr>
            <xdr:cNvPr id="7" name="Hand-In-Stock">
              <a:extLst>
                <a:ext uri="{FF2B5EF4-FFF2-40B4-BE49-F238E27FC236}">
                  <a16:creationId xmlns:a16="http://schemas.microsoft.com/office/drawing/2014/main" id="{43B92C0D-C98D-4CF3-B440-5275143CF9A4}"/>
                </a:ext>
              </a:extLst>
            </xdr:cNvPr>
            <xdr:cNvGraphicFramePr/>
          </xdr:nvGraphicFramePr>
          <xdr:xfrm>
            <a:off x="0" y="0"/>
            <a:ext cx="0" cy="0"/>
          </xdr:xfrm>
          <a:graphic>
            <a:graphicData uri="http://schemas.microsoft.com/office/drawing/2010/slicer">
              <sle:slicer xmlns:sle="http://schemas.microsoft.com/office/drawing/2010/slicer" name="Hand-In-Stock"/>
            </a:graphicData>
          </a:graphic>
        </xdr:graphicFrame>
      </mc:Choice>
      <mc:Fallback>
        <xdr:sp macro="" textlink="">
          <xdr:nvSpPr>
            <xdr:cNvPr id="0" name=""/>
            <xdr:cNvSpPr>
              <a:spLocks noTextEdit="1"/>
            </xdr:cNvSpPr>
          </xdr:nvSpPr>
          <xdr:spPr>
            <a:xfrm>
              <a:off x="171450" y="5143500"/>
              <a:ext cx="1828800" cy="1533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oges" refreshedDate="46015.486415162035" createdVersion="8" refreshedVersion="8" minRefreshableVersion="3" recordCount="46" xr:uid="{D38E4CE5-C3B7-47BA-9122-1D604DAA5FDC}">
  <cacheSource type="worksheet">
    <worksheetSource name="Table1"/>
  </cacheSource>
  <cacheFields count="12">
    <cacheField name="Product ID" numFmtId="0">
      <sharedItems count="46">
        <s v="P101"/>
        <s v="P102"/>
        <s v="P103"/>
        <s v="P104"/>
        <s v="P105"/>
        <s v="P106"/>
        <s v="P107"/>
        <s v="P108"/>
        <s v="P109"/>
        <s v="P110"/>
        <s v="P111"/>
        <s v="P112"/>
        <s v="P113"/>
        <s v="P114"/>
        <s v="P115"/>
        <s v="P116"/>
        <s v="P117"/>
        <s v="P118"/>
        <s v="P119"/>
        <s v="P120"/>
        <s v="P121"/>
        <s v="P122"/>
        <s v="P123"/>
        <s v="P124"/>
        <s v="P125"/>
        <s v="P126"/>
        <s v="P127"/>
        <s v="P128"/>
        <s v="P129"/>
        <s v="P130"/>
        <s v="P131"/>
        <s v="P132"/>
        <s v="P133"/>
        <s v="P134"/>
        <s v="P135"/>
        <s v="P136"/>
        <s v="P137"/>
        <s v="P138"/>
        <s v="P139"/>
        <s v="P140"/>
        <s v="P141"/>
        <s v="P142"/>
        <s v="P143"/>
        <s v="P144"/>
        <s v="P145"/>
        <s v="P146"/>
      </sharedItems>
    </cacheField>
    <cacheField name="Product Name" numFmtId="0">
      <sharedItems count="46">
        <s v="Laptop"/>
        <s v="Monitor"/>
        <s v="Keyboard"/>
        <s v="Headphones"/>
        <s v="Smartphone"/>
        <s v="Tablet"/>
        <s v="Router"/>
        <s v="External Hard Drive"/>
        <s v="Wireless Earbuds"/>
        <s v="Webcam"/>
        <s v="Desk Chair"/>
        <s v="Desk Lamp"/>
        <s v="USB Flash Drive"/>
        <s v="Ethernet Cable"/>
        <s v="Power Strip"/>
        <s v="Wireless Mouse"/>
        <s v="Gaming Keyboard"/>
        <s v="Gaming Mouse"/>
        <s v="Gaming Headset"/>
        <s v="Gaming Chair"/>
        <s v="Gaming Monitor"/>
        <s v="Graphics Card"/>
        <s v="CPU"/>
        <s v="Motherboard"/>
        <s v="RAM"/>
        <s v="SSD"/>
        <s v="HDD"/>
        <s v="Power Supply"/>
        <s v="PC Case"/>
        <s v="CPU Cooler"/>
        <s v="Monitor Stand"/>
        <s v="Mouse Pad"/>
        <s v="Thermal Paste"/>
        <s v="Cable Management Kit"/>
        <s v="WiFi Adapter"/>
        <s v="External DVD Drive"/>
        <s v="Printer Cable"/>
        <s v="Keyboard Cleaner"/>
        <s v="Laptop Cooling Pad"/>
        <s v="USB Hub"/>
        <s v="Anti-Glare Screen Protector"/>
        <s v="USB-C Adapter"/>
        <s v="Laptop Sleeve"/>
        <s v="Wireless Charger"/>
        <s v="USB-C Cable"/>
        <s v="Gaming Desk"/>
      </sharedItems>
    </cacheField>
    <cacheField name="Opening Stock" numFmtId="0">
      <sharedItems containsSemiMixedTypes="0" containsString="0" containsNumber="1" containsInteger="1" minValue="15" maxValue="70"/>
    </cacheField>
    <cacheField name="Purchase/Stock in" numFmtId="0">
      <sharedItems containsSemiMixedTypes="0" containsString="0" containsNumber="1" containsInteger="1" minValue="6" maxValue="30"/>
    </cacheField>
    <cacheField name="Number of Units Sold" numFmtId="0">
      <sharedItems containsSemiMixedTypes="0" containsString="0" containsNumber="1" containsInteger="1" minValue="2" maxValue="20" count="13">
        <n v="10"/>
        <n v="5"/>
        <n v="15"/>
        <n v="3"/>
        <n v="20"/>
        <n v="8"/>
        <n v="12"/>
        <n v="7"/>
        <n v="4"/>
        <n v="6"/>
        <n v="2"/>
        <n v="9"/>
        <n v="11"/>
      </sharedItems>
    </cacheField>
    <cacheField name="Hand-In-Stock" numFmtId="0">
      <sharedItems containsSemiMixedTypes="0" containsString="0" containsNumber="1" containsInteger="1" minValue="17" maxValue="80" count="32">
        <n v="60"/>
        <n v="50"/>
        <n v="70"/>
        <n v="37"/>
        <n v="80"/>
        <n v="55"/>
        <n v="65"/>
        <n v="32"/>
        <n v="43"/>
        <n v="25"/>
        <n v="38"/>
        <n v="63"/>
        <n v="75"/>
        <n v="52"/>
        <n v="45"/>
        <n v="31"/>
        <n v="36"/>
        <n v="19"/>
        <n v="29"/>
        <n v="49"/>
        <n v="61"/>
        <n v="57"/>
        <n v="73"/>
        <n v="44"/>
        <n v="34"/>
        <n v="28"/>
        <n v="58"/>
        <n v="23"/>
        <n v="17"/>
        <n v="39"/>
        <n v="24"/>
        <n v="51"/>
      </sharedItems>
    </cacheField>
    <cacheField name="Cost Price Per Unit (USD)" numFmtId="0">
      <sharedItems containsSemiMixedTypes="0" containsString="0" containsNumber="1" containsInteger="1" minValue="5" maxValue="1200"/>
    </cacheField>
    <cacheField name="Cost Price_x000a_Total (USD)" numFmtId="0">
      <sharedItems containsSemiMixedTypes="0" containsString="0" containsNumber="1" containsInteger="1" minValue="145" maxValue="72000"/>
    </cacheField>
    <cacheField name="Closing Stock" numFmtId="0">
      <sharedItems containsSemiMixedTypes="0" containsString="0" containsNumber="1" containsInteger="1" minValue="19" maxValue="80"/>
    </cacheField>
    <cacheField name="Inventry Value" numFmtId="0">
      <sharedItems containsSemiMixedTypes="0" containsString="0" containsNumber="1" containsInteger="1" minValue="155" maxValue="72000"/>
    </cacheField>
    <cacheField name="Stock Status" numFmtId="0">
      <sharedItems count="3">
        <s v="High"/>
        <s v="Normal"/>
        <s v="Low"/>
      </sharedItems>
    </cacheField>
    <cacheField name="Total Sales" numFmtId="0">
      <sharedItems containsSemiMixedTypes="0" containsString="0" containsNumber="1" containsInteger="1" minValue="20" maxValue="18000"/>
    </cacheField>
  </cacheFields>
  <extLst>
    <ext xmlns:x14="http://schemas.microsoft.com/office/spreadsheetml/2009/9/main" uri="{725AE2AE-9491-48be-B2B4-4EB974FC3084}">
      <x14:pivotCacheDefinition pivotCacheId="21075029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x v="0"/>
    <x v="0"/>
    <n v="50"/>
    <n v="20"/>
    <x v="0"/>
    <x v="0"/>
    <n v="1200"/>
    <n v="72000"/>
    <n v="60"/>
    <n v="72000"/>
    <x v="0"/>
    <n v="12000"/>
  </r>
  <r>
    <x v="1"/>
    <x v="1"/>
    <n v="40"/>
    <n v="15"/>
    <x v="1"/>
    <x v="1"/>
    <n v="500"/>
    <n v="25000"/>
    <n v="50"/>
    <n v="25000"/>
    <x v="1"/>
    <n v="2500"/>
  </r>
  <r>
    <x v="2"/>
    <x v="2"/>
    <n v="60"/>
    <n v="25"/>
    <x v="2"/>
    <x v="2"/>
    <n v="50"/>
    <n v="3500"/>
    <n v="70"/>
    <n v="3500"/>
    <x v="0"/>
    <n v="750"/>
  </r>
  <r>
    <x v="3"/>
    <x v="3"/>
    <n v="30"/>
    <n v="10"/>
    <x v="3"/>
    <x v="3"/>
    <n v="100"/>
    <n v="3700"/>
    <n v="37"/>
    <n v="3700"/>
    <x v="1"/>
    <n v="300"/>
  </r>
  <r>
    <x v="4"/>
    <x v="4"/>
    <n v="70"/>
    <n v="30"/>
    <x v="4"/>
    <x v="4"/>
    <n v="900"/>
    <n v="72000"/>
    <n v="80"/>
    <n v="72000"/>
    <x v="0"/>
    <n v="18000"/>
  </r>
  <r>
    <x v="5"/>
    <x v="5"/>
    <n v="45"/>
    <n v="18"/>
    <x v="5"/>
    <x v="5"/>
    <n v="700"/>
    <n v="38500"/>
    <n v="55"/>
    <n v="38500"/>
    <x v="0"/>
    <n v="5600"/>
  </r>
  <r>
    <x v="6"/>
    <x v="6"/>
    <n v="55"/>
    <n v="22"/>
    <x v="6"/>
    <x v="6"/>
    <n v="150"/>
    <n v="9750"/>
    <n v="65"/>
    <n v="9750"/>
    <x v="0"/>
    <n v="1800"/>
  </r>
  <r>
    <x v="7"/>
    <x v="7"/>
    <n v="25"/>
    <n v="12"/>
    <x v="1"/>
    <x v="7"/>
    <n v="200"/>
    <n v="6400"/>
    <n v="32"/>
    <n v="6400"/>
    <x v="1"/>
    <n v="1000"/>
  </r>
  <r>
    <x v="8"/>
    <x v="8"/>
    <n v="35"/>
    <n v="15"/>
    <x v="7"/>
    <x v="8"/>
    <n v="80"/>
    <n v="3440"/>
    <n v="43"/>
    <n v="3440"/>
    <x v="1"/>
    <n v="560"/>
  </r>
  <r>
    <x v="9"/>
    <x v="9"/>
    <n v="40"/>
    <n v="20"/>
    <x v="0"/>
    <x v="1"/>
    <n v="60"/>
    <n v="3000"/>
    <n v="50"/>
    <n v="3000"/>
    <x v="1"/>
    <n v="600"/>
  </r>
  <r>
    <x v="10"/>
    <x v="10"/>
    <n v="20"/>
    <n v="8"/>
    <x v="3"/>
    <x v="9"/>
    <n v="150"/>
    <n v="3750"/>
    <n v="25"/>
    <n v="3750"/>
    <x v="1"/>
    <n v="450"/>
  </r>
  <r>
    <x v="11"/>
    <x v="11"/>
    <n v="30"/>
    <n v="15"/>
    <x v="7"/>
    <x v="10"/>
    <n v="30"/>
    <n v="1140"/>
    <n v="38"/>
    <n v="1140"/>
    <x v="1"/>
    <n v="210"/>
  </r>
  <r>
    <x v="12"/>
    <x v="12"/>
    <n v="50"/>
    <n v="25"/>
    <x v="6"/>
    <x v="11"/>
    <n v="20"/>
    <n v="1260"/>
    <n v="63"/>
    <n v="1260"/>
    <x v="0"/>
    <n v="240"/>
  </r>
  <r>
    <x v="13"/>
    <x v="13"/>
    <n v="60"/>
    <n v="30"/>
    <x v="2"/>
    <x v="12"/>
    <n v="10"/>
    <n v="750"/>
    <n v="75"/>
    <n v="750"/>
    <x v="0"/>
    <n v="150"/>
  </r>
  <r>
    <x v="14"/>
    <x v="14"/>
    <n v="40"/>
    <n v="20"/>
    <x v="5"/>
    <x v="13"/>
    <n v="25"/>
    <n v="1300"/>
    <n v="52"/>
    <n v="1300"/>
    <x v="0"/>
    <n v="200"/>
  </r>
  <r>
    <x v="15"/>
    <x v="15"/>
    <n v="35"/>
    <n v="15"/>
    <x v="1"/>
    <x v="14"/>
    <n v="40"/>
    <n v="1800"/>
    <n v="45"/>
    <n v="1800"/>
    <x v="1"/>
    <n v="200"/>
  </r>
  <r>
    <x v="16"/>
    <x v="16"/>
    <n v="25"/>
    <n v="10"/>
    <x v="8"/>
    <x v="15"/>
    <n v="100"/>
    <n v="3100"/>
    <n v="31"/>
    <n v="3100"/>
    <x v="1"/>
    <n v="400"/>
  </r>
  <r>
    <x v="17"/>
    <x v="17"/>
    <n v="30"/>
    <n v="12"/>
    <x v="9"/>
    <x v="16"/>
    <n v="80"/>
    <n v="2880"/>
    <n v="36"/>
    <n v="2880"/>
    <x v="1"/>
    <n v="480"/>
  </r>
  <r>
    <x v="18"/>
    <x v="18"/>
    <n v="20"/>
    <n v="8"/>
    <x v="3"/>
    <x v="9"/>
    <n v="120"/>
    <n v="3000"/>
    <n v="25"/>
    <n v="3000"/>
    <x v="1"/>
    <n v="360"/>
  </r>
  <r>
    <x v="19"/>
    <x v="19"/>
    <n v="15"/>
    <n v="6"/>
    <x v="10"/>
    <x v="17"/>
    <n v="200"/>
    <n v="3800"/>
    <n v="19"/>
    <n v="3800"/>
    <x v="2"/>
    <n v="400"/>
  </r>
  <r>
    <x v="20"/>
    <x v="20"/>
    <n v="25"/>
    <n v="10"/>
    <x v="8"/>
    <x v="18"/>
    <n v="400"/>
    <n v="11600"/>
    <n v="31"/>
    <n v="12400"/>
    <x v="1"/>
    <n v="1600"/>
  </r>
  <r>
    <x v="21"/>
    <x v="21"/>
    <n v="40"/>
    <n v="18"/>
    <x v="11"/>
    <x v="19"/>
    <n v="600"/>
    <n v="29400"/>
    <n v="49"/>
    <n v="29400"/>
    <x v="1"/>
    <n v="5400"/>
  </r>
  <r>
    <x v="22"/>
    <x v="22"/>
    <n v="30"/>
    <n v="15"/>
    <x v="7"/>
    <x v="10"/>
    <n v="350"/>
    <n v="13300"/>
    <n v="38"/>
    <n v="13300"/>
    <x v="1"/>
    <n v="2450"/>
  </r>
  <r>
    <x v="23"/>
    <x v="23"/>
    <n v="25"/>
    <n v="12"/>
    <x v="1"/>
    <x v="7"/>
    <n v="200"/>
    <n v="6400"/>
    <n v="32"/>
    <n v="6400"/>
    <x v="1"/>
    <n v="1000"/>
  </r>
  <r>
    <x v="24"/>
    <x v="24"/>
    <n v="50"/>
    <n v="22"/>
    <x v="12"/>
    <x v="20"/>
    <n v="80"/>
    <n v="4880"/>
    <n v="61"/>
    <n v="4880"/>
    <x v="0"/>
    <n v="880"/>
  </r>
  <r>
    <x v="25"/>
    <x v="25"/>
    <n v="45"/>
    <n v="20"/>
    <x v="5"/>
    <x v="21"/>
    <n v="120"/>
    <n v="6840"/>
    <n v="57"/>
    <n v="6840"/>
    <x v="0"/>
    <n v="960"/>
  </r>
  <r>
    <x v="26"/>
    <x v="26"/>
    <n v="60"/>
    <n v="25"/>
    <x v="6"/>
    <x v="22"/>
    <n v="60"/>
    <n v="4380"/>
    <n v="73"/>
    <n v="4380"/>
    <x v="0"/>
    <n v="720"/>
  </r>
  <r>
    <x v="27"/>
    <x v="27"/>
    <n v="35"/>
    <n v="15"/>
    <x v="9"/>
    <x v="23"/>
    <n v="100"/>
    <n v="4400"/>
    <n v="44"/>
    <n v="4400"/>
    <x v="1"/>
    <n v="600"/>
  </r>
  <r>
    <x v="28"/>
    <x v="28"/>
    <n v="40"/>
    <n v="18"/>
    <x v="11"/>
    <x v="19"/>
    <n v="80"/>
    <n v="3920"/>
    <n v="49"/>
    <n v="3920"/>
    <x v="1"/>
    <n v="720"/>
  </r>
  <r>
    <x v="29"/>
    <x v="29"/>
    <n v="30"/>
    <n v="12"/>
    <x v="8"/>
    <x v="24"/>
    <n v="50"/>
    <n v="1700"/>
    <n v="38"/>
    <n v="1900"/>
    <x v="1"/>
    <n v="200"/>
  </r>
  <r>
    <x v="30"/>
    <x v="30"/>
    <n v="25"/>
    <n v="10"/>
    <x v="3"/>
    <x v="25"/>
    <n v="30"/>
    <n v="840"/>
    <n v="32"/>
    <n v="960"/>
    <x v="1"/>
    <n v="90"/>
  </r>
  <r>
    <x v="31"/>
    <x v="31"/>
    <n v="50"/>
    <n v="20"/>
    <x v="5"/>
    <x v="26"/>
    <n v="10"/>
    <n v="580"/>
    <n v="62"/>
    <n v="620"/>
    <x v="0"/>
    <n v="80"/>
  </r>
  <r>
    <x v="32"/>
    <x v="32"/>
    <n v="40"/>
    <n v="15"/>
    <x v="1"/>
    <x v="1"/>
    <n v="5"/>
    <n v="250"/>
    <n v="50"/>
    <n v="250"/>
    <x v="1"/>
    <n v="25"/>
  </r>
  <r>
    <x v="33"/>
    <x v="33"/>
    <n v="30"/>
    <n v="12"/>
    <x v="8"/>
    <x v="24"/>
    <n v="15"/>
    <n v="510"/>
    <n v="38"/>
    <n v="570"/>
    <x v="1"/>
    <n v="60"/>
  </r>
  <r>
    <x v="34"/>
    <x v="34"/>
    <n v="20"/>
    <n v="8"/>
    <x v="3"/>
    <x v="27"/>
    <n v="20"/>
    <n v="460"/>
    <n v="25"/>
    <n v="500"/>
    <x v="1"/>
    <n v="60"/>
  </r>
  <r>
    <x v="35"/>
    <x v="35"/>
    <n v="15"/>
    <n v="6"/>
    <x v="10"/>
    <x v="28"/>
    <n v="50"/>
    <n v="850"/>
    <n v="19"/>
    <n v="950"/>
    <x v="2"/>
    <n v="100"/>
  </r>
  <r>
    <x v="36"/>
    <x v="36"/>
    <n v="25"/>
    <n v="10"/>
    <x v="8"/>
    <x v="18"/>
    <n v="5"/>
    <n v="145"/>
    <n v="31"/>
    <n v="155"/>
    <x v="1"/>
    <n v="20"/>
  </r>
  <r>
    <x v="37"/>
    <x v="37"/>
    <n v="40"/>
    <n v="18"/>
    <x v="11"/>
    <x v="19"/>
    <n v="8"/>
    <n v="392"/>
    <n v="49"/>
    <n v="392"/>
    <x v="1"/>
    <n v="72"/>
  </r>
  <r>
    <x v="38"/>
    <x v="38"/>
    <n v="30"/>
    <n v="15"/>
    <x v="9"/>
    <x v="29"/>
    <n v="20"/>
    <n v="780"/>
    <n v="39"/>
    <n v="780"/>
    <x v="1"/>
    <n v="120"/>
  </r>
  <r>
    <x v="39"/>
    <x v="39"/>
    <n v="35"/>
    <n v="12"/>
    <x v="8"/>
    <x v="15"/>
    <n v="15"/>
    <n v="465"/>
    <n v="43"/>
    <n v="645"/>
    <x v="1"/>
    <n v="60"/>
  </r>
  <r>
    <x v="40"/>
    <x v="40"/>
    <n v="25"/>
    <n v="8"/>
    <x v="3"/>
    <x v="25"/>
    <n v="10"/>
    <n v="280"/>
    <n v="30"/>
    <n v="300"/>
    <x v="1"/>
    <n v="30"/>
  </r>
  <r>
    <x v="41"/>
    <x v="41"/>
    <n v="20"/>
    <n v="10"/>
    <x v="8"/>
    <x v="30"/>
    <n v="15"/>
    <n v="360"/>
    <n v="26"/>
    <n v="390"/>
    <x v="1"/>
    <n v="60"/>
  </r>
  <r>
    <x v="42"/>
    <x v="42"/>
    <n v="30"/>
    <n v="12"/>
    <x v="1"/>
    <x v="3"/>
    <n v="20"/>
    <n v="740"/>
    <n v="37"/>
    <n v="740"/>
    <x v="1"/>
    <n v="100"/>
  </r>
  <r>
    <x v="43"/>
    <x v="43"/>
    <n v="40"/>
    <n v="18"/>
    <x v="7"/>
    <x v="31"/>
    <n v="30"/>
    <n v="1530"/>
    <n v="51"/>
    <n v="1530"/>
    <x v="0"/>
    <n v="210"/>
  </r>
  <r>
    <x v="44"/>
    <x v="44"/>
    <n v="50"/>
    <n v="20"/>
    <x v="11"/>
    <x v="20"/>
    <n v="8"/>
    <n v="488"/>
    <n v="61"/>
    <n v="488"/>
    <x v="0"/>
    <n v="72"/>
  </r>
  <r>
    <x v="45"/>
    <x v="45"/>
    <n v="25"/>
    <n v="10"/>
    <x v="3"/>
    <x v="25"/>
    <n v="150"/>
    <n v="4200"/>
    <n v="32"/>
    <n v="4800"/>
    <x v="1"/>
    <n v="4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A507DD-BB10-4033-AAC2-844121D5FC48}"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2:N47" firstHeaderRow="1" firstDataRow="1" firstDataCol="1"/>
  <pivotFields count="12">
    <pivotField showAll="0"/>
    <pivotField axis="axisRow" showAll="0" measureFilter="1">
      <items count="47">
        <item x="40"/>
        <item x="33"/>
        <item x="22"/>
        <item x="29"/>
        <item x="10"/>
        <item x="11"/>
        <item x="13"/>
        <item x="35"/>
        <item x="7"/>
        <item x="19"/>
        <item x="45"/>
        <item x="18"/>
        <item x="16"/>
        <item x="20"/>
        <item x="17"/>
        <item x="21"/>
        <item x="26"/>
        <item x="3"/>
        <item x="2"/>
        <item x="37"/>
        <item x="0"/>
        <item x="38"/>
        <item x="42"/>
        <item x="1"/>
        <item x="30"/>
        <item x="23"/>
        <item x="31"/>
        <item x="28"/>
        <item x="14"/>
        <item x="27"/>
        <item x="36"/>
        <item x="24"/>
        <item x="6"/>
        <item x="4"/>
        <item x="25"/>
        <item x="5"/>
        <item x="32"/>
        <item x="12"/>
        <item x="39"/>
        <item x="41"/>
        <item x="44"/>
        <item x="9"/>
        <item x="34"/>
        <item x="43"/>
        <item x="8"/>
        <item x="15"/>
        <item t="default"/>
      </items>
    </pivotField>
    <pivotField showAll="0"/>
    <pivotField showAll="0"/>
    <pivotField showAll="0">
      <items count="14">
        <item x="10"/>
        <item x="3"/>
        <item x="8"/>
        <item x="1"/>
        <item x="9"/>
        <item x="7"/>
        <item x="5"/>
        <item x="11"/>
        <item x="0"/>
        <item x="12"/>
        <item x="6"/>
        <item x="2"/>
        <item x="4"/>
        <item t="default"/>
      </items>
    </pivotField>
    <pivotField showAll="0"/>
    <pivotField showAll="0"/>
    <pivotField showAll="0"/>
    <pivotField showAll="0"/>
    <pivotField showAll="0"/>
    <pivotField showAll="0">
      <items count="4">
        <item x="0"/>
        <item x="2"/>
        <item x="1"/>
        <item t="default"/>
      </items>
    </pivotField>
    <pivotField dataField="1" showAll="0"/>
  </pivotFields>
  <rowFields count="1">
    <field x="1"/>
  </rowFields>
  <rowItems count="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1"/>
    </i>
    <i>
      <x v="32"/>
    </i>
    <i>
      <x v="33"/>
    </i>
    <i>
      <x v="34"/>
    </i>
    <i>
      <x v="35"/>
    </i>
    <i>
      <x v="37"/>
    </i>
    <i>
      <x v="38"/>
    </i>
    <i>
      <x v="39"/>
    </i>
    <i>
      <x v="40"/>
    </i>
    <i>
      <x v="41"/>
    </i>
    <i>
      <x v="42"/>
    </i>
    <i>
      <x v="43"/>
    </i>
    <i>
      <x v="44"/>
    </i>
    <i>
      <x v="45"/>
    </i>
    <i t="grand">
      <x/>
    </i>
  </rowItems>
  <colItems count="1">
    <i/>
  </colItems>
  <dataFields count="1">
    <dataField name="Sum of Total Sales" fld="1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4" iMeasureFld="0">
      <autoFilter ref="A1">
        <filterColumn colId="0">
          <top10 val="44" filterVal="4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96B381-272F-4E0B-9C8A-F35B02DB64A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7" firstHeaderRow="1" firstDataRow="1" firstDataCol="1"/>
  <pivotFields count="12">
    <pivotField showAll="0"/>
    <pivotField axis="axisRow" showAll="0" measureFilter="1">
      <items count="47">
        <item x="40"/>
        <item x="33"/>
        <item x="22"/>
        <item x="29"/>
        <item x="10"/>
        <item x="11"/>
        <item x="13"/>
        <item x="35"/>
        <item x="7"/>
        <item x="19"/>
        <item x="45"/>
        <item x="18"/>
        <item x="16"/>
        <item x="20"/>
        <item x="17"/>
        <item x="21"/>
        <item x="26"/>
        <item x="3"/>
        <item x="2"/>
        <item x="37"/>
        <item x="0"/>
        <item x="38"/>
        <item x="42"/>
        <item x="1"/>
        <item x="30"/>
        <item x="23"/>
        <item x="31"/>
        <item x="28"/>
        <item x="14"/>
        <item x="27"/>
        <item x="36"/>
        <item x="24"/>
        <item x="6"/>
        <item x="4"/>
        <item x="25"/>
        <item x="5"/>
        <item x="32"/>
        <item x="12"/>
        <item x="39"/>
        <item x="41"/>
        <item x="44"/>
        <item x="9"/>
        <item x="34"/>
        <item x="43"/>
        <item x="8"/>
        <item x="15"/>
        <item t="default"/>
      </items>
    </pivotField>
    <pivotField showAll="0"/>
    <pivotField showAll="0"/>
    <pivotField dataField="1" showAll="0">
      <items count="14">
        <item x="10"/>
        <item x="3"/>
        <item x="8"/>
        <item x="1"/>
        <item x="9"/>
        <item x="7"/>
        <item x="5"/>
        <item x="11"/>
        <item x="0"/>
        <item x="12"/>
        <item x="6"/>
        <item x="2"/>
        <item x="4"/>
        <item t="default"/>
      </items>
    </pivotField>
    <pivotField showAll="0"/>
    <pivotField showAll="0"/>
    <pivotField showAll="0"/>
    <pivotField showAll="0"/>
    <pivotField showAll="0"/>
    <pivotField showAll="0">
      <items count="4">
        <item x="0"/>
        <item x="2"/>
        <item x="1"/>
        <item t="default"/>
      </items>
    </pivotField>
    <pivotField showAll="0"/>
  </pivotFields>
  <rowFields count="1">
    <field x="1"/>
  </rowFields>
  <rowItems count="14">
    <i>
      <x v="6"/>
    </i>
    <i>
      <x v="15"/>
    </i>
    <i>
      <x v="16"/>
    </i>
    <i>
      <x v="18"/>
    </i>
    <i>
      <x v="19"/>
    </i>
    <i>
      <x v="20"/>
    </i>
    <i>
      <x v="27"/>
    </i>
    <i>
      <x v="31"/>
    </i>
    <i>
      <x v="32"/>
    </i>
    <i>
      <x v="33"/>
    </i>
    <i>
      <x v="37"/>
    </i>
    <i>
      <x v="40"/>
    </i>
    <i>
      <x v="41"/>
    </i>
    <i t="grand">
      <x/>
    </i>
  </rowItems>
  <colItems count="1">
    <i/>
  </colItems>
  <dataFields count="1">
    <dataField name="Sum of Number of Units Sold" fld="4"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DF9BC0-F098-4800-8289-1E3A41DBC4D1}"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14:H22" firstHeaderRow="1" firstDataRow="1" firstDataCol="1"/>
  <pivotFields count="12">
    <pivotField showAll="0"/>
    <pivotField axis="axisRow" showAll="0" measureFilter="1">
      <items count="47">
        <item x="40"/>
        <item x="33"/>
        <item x="22"/>
        <item x="29"/>
        <item x="10"/>
        <item x="11"/>
        <item x="13"/>
        <item x="35"/>
        <item x="7"/>
        <item x="19"/>
        <item x="45"/>
        <item x="18"/>
        <item x="16"/>
        <item x="20"/>
        <item x="17"/>
        <item x="21"/>
        <item x="26"/>
        <item x="3"/>
        <item x="2"/>
        <item x="37"/>
        <item x="0"/>
        <item x="38"/>
        <item x="42"/>
        <item x="1"/>
        <item x="30"/>
        <item x="23"/>
        <item x="31"/>
        <item x="28"/>
        <item x="14"/>
        <item x="27"/>
        <item x="36"/>
        <item x="24"/>
        <item x="6"/>
        <item x="4"/>
        <item x="25"/>
        <item x="5"/>
        <item x="32"/>
        <item x="12"/>
        <item x="39"/>
        <item x="41"/>
        <item x="44"/>
        <item x="9"/>
        <item x="34"/>
        <item x="43"/>
        <item x="8"/>
        <item x="15"/>
        <item t="default"/>
      </items>
    </pivotField>
    <pivotField showAll="0"/>
    <pivotField dataField="1" showAll="0"/>
    <pivotField showAll="0">
      <items count="14">
        <item x="10"/>
        <item x="3"/>
        <item x="8"/>
        <item x="1"/>
        <item x="9"/>
        <item x="7"/>
        <item x="5"/>
        <item x="11"/>
        <item x="0"/>
        <item x="12"/>
        <item x="6"/>
        <item x="2"/>
        <item x="4"/>
        <item t="default"/>
      </items>
    </pivotField>
    <pivotField showAll="0"/>
    <pivotField showAll="0"/>
    <pivotField showAll="0"/>
    <pivotField showAll="0"/>
    <pivotField showAll="0"/>
    <pivotField showAll="0">
      <items count="4">
        <item x="0"/>
        <item x="2"/>
        <item x="1"/>
        <item t="default"/>
      </items>
    </pivotField>
    <pivotField showAll="0"/>
  </pivotFields>
  <rowFields count="1">
    <field x="1"/>
  </rowFields>
  <rowItems count="8">
    <i>
      <x v="6"/>
    </i>
    <i>
      <x v="16"/>
    </i>
    <i>
      <x v="18"/>
    </i>
    <i>
      <x v="31"/>
    </i>
    <i>
      <x v="32"/>
    </i>
    <i>
      <x v="33"/>
    </i>
    <i>
      <x v="37"/>
    </i>
    <i t="grand">
      <x/>
    </i>
  </rowItems>
  <colItems count="1">
    <i/>
  </colItems>
  <dataFields count="1">
    <dataField name="Sum of Purchase/Stock in" fld="3"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4"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6ECB5C-1B94-4D76-8D6F-EC870BCCD095}"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3:K7" firstHeaderRow="1" firstDataRow="1" firstDataCol="1"/>
  <pivotFields count="12">
    <pivotField dataField="1" showAll="0">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showAll="0">
      <items count="47">
        <item x="40"/>
        <item x="33"/>
        <item x="22"/>
        <item x="29"/>
        <item x="10"/>
        <item x="11"/>
        <item x="13"/>
        <item x="35"/>
        <item x="7"/>
        <item x="19"/>
        <item x="45"/>
        <item x="18"/>
        <item x="16"/>
        <item x="20"/>
        <item x="17"/>
        <item x="21"/>
        <item x="26"/>
        <item x="3"/>
        <item x="2"/>
        <item x="37"/>
        <item x="0"/>
        <item x="38"/>
        <item x="42"/>
        <item x="1"/>
        <item x="30"/>
        <item x="23"/>
        <item x="31"/>
        <item x="28"/>
        <item x="14"/>
        <item x="27"/>
        <item x="36"/>
        <item x="24"/>
        <item x="6"/>
        <item x="4"/>
        <item x="25"/>
        <item x="5"/>
        <item x="32"/>
        <item x="12"/>
        <item x="39"/>
        <item x="41"/>
        <item x="44"/>
        <item x="9"/>
        <item x="34"/>
        <item x="43"/>
        <item x="8"/>
        <item x="15"/>
        <item t="default"/>
      </items>
    </pivotField>
    <pivotField showAll="0"/>
    <pivotField showAll="0"/>
    <pivotField showAll="0">
      <items count="14">
        <item x="10"/>
        <item x="3"/>
        <item x="8"/>
        <item x="1"/>
        <item x="9"/>
        <item x="7"/>
        <item x="5"/>
        <item x="11"/>
        <item x="0"/>
        <item x="12"/>
        <item x="6"/>
        <item x="2"/>
        <item x="4"/>
        <item t="default"/>
      </items>
    </pivotField>
    <pivotField showAll="0"/>
    <pivotField showAll="0"/>
    <pivotField showAll="0"/>
    <pivotField showAll="0"/>
    <pivotField showAll="0"/>
    <pivotField axis="axisRow" showAll="0">
      <items count="4">
        <item x="0"/>
        <item x="2"/>
        <item x="1"/>
        <item t="default"/>
      </items>
    </pivotField>
    <pivotField showAll="0"/>
  </pivotFields>
  <rowFields count="1">
    <field x="10"/>
  </rowFields>
  <rowItems count="4">
    <i>
      <x/>
    </i>
    <i>
      <x v="1"/>
    </i>
    <i>
      <x v="2"/>
    </i>
    <i t="grand">
      <x/>
    </i>
  </rowItems>
  <colItems count="1">
    <i/>
  </colItems>
  <dataFields count="1">
    <dataField name="Count of Product ID" fld="0" subtotal="count" baseField="0" baseItem="0"/>
  </dataFields>
  <chartFormats count="4">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0" count="1" selected="0">
            <x v="0"/>
          </reference>
        </references>
      </pivotArea>
    </chartFormat>
    <chartFormat chart="7" format="7">
      <pivotArea type="data" outline="0" fieldPosition="0">
        <references count="2">
          <reference field="4294967294" count="1" selected="0">
            <x v="0"/>
          </reference>
          <reference field="10" count="1" selected="0">
            <x v="1"/>
          </reference>
        </references>
      </pivotArea>
    </chartFormat>
    <chartFormat chart="7"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403A51-0F0E-4015-85A6-B0757054285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H10" firstHeaderRow="1" firstDataRow="1" firstDataCol="1"/>
  <pivotFields count="12">
    <pivotField showAll="0"/>
    <pivotField axis="axisRow" showAll="0" measureFilter="1">
      <items count="47">
        <item x="40"/>
        <item x="33"/>
        <item x="22"/>
        <item x="29"/>
        <item x="10"/>
        <item x="11"/>
        <item x="13"/>
        <item x="35"/>
        <item x="7"/>
        <item x="19"/>
        <item x="45"/>
        <item x="18"/>
        <item x="16"/>
        <item x="20"/>
        <item x="17"/>
        <item x="21"/>
        <item x="26"/>
        <item x="3"/>
        <item x="2"/>
        <item x="37"/>
        <item x="0"/>
        <item x="38"/>
        <item x="42"/>
        <item x="1"/>
        <item x="30"/>
        <item x="23"/>
        <item x="31"/>
        <item x="28"/>
        <item x="14"/>
        <item x="27"/>
        <item x="36"/>
        <item x="24"/>
        <item x="6"/>
        <item x="4"/>
        <item x="25"/>
        <item x="5"/>
        <item x="32"/>
        <item x="12"/>
        <item x="39"/>
        <item x="41"/>
        <item x="44"/>
        <item x="9"/>
        <item x="34"/>
        <item x="43"/>
        <item x="8"/>
        <item x="15"/>
        <item t="default"/>
      </items>
    </pivotField>
    <pivotField showAll="0"/>
    <pivotField showAll="0"/>
    <pivotField showAll="0">
      <items count="14">
        <item x="10"/>
        <item x="3"/>
        <item x="8"/>
        <item x="1"/>
        <item x="9"/>
        <item x="7"/>
        <item x="5"/>
        <item x="11"/>
        <item x="0"/>
        <item x="12"/>
        <item x="6"/>
        <item x="2"/>
        <item x="4"/>
        <item t="default"/>
      </items>
    </pivotField>
    <pivotField showAll="0">
      <items count="33">
        <item x="28"/>
        <item x="17"/>
        <item x="27"/>
        <item x="30"/>
        <item x="9"/>
        <item x="25"/>
        <item x="18"/>
        <item x="15"/>
        <item x="7"/>
        <item x="24"/>
        <item x="16"/>
        <item x="3"/>
        <item x="10"/>
        <item x="29"/>
        <item x="8"/>
        <item x="23"/>
        <item x="14"/>
        <item x="19"/>
        <item x="1"/>
        <item x="31"/>
        <item x="13"/>
        <item x="5"/>
        <item x="21"/>
        <item x="26"/>
        <item x="0"/>
        <item x="20"/>
        <item x="11"/>
        <item x="6"/>
        <item x="2"/>
        <item x="22"/>
        <item x="12"/>
        <item x="4"/>
        <item t="default"/>
      </items>
    </pivotField>
    <pivotField showAll="0"/>
    <pivotField showAll="0"/>
    <pivotField showAll="0"/>
    <pivotField showAll="0"/>
    <pivotField showAll="0">
      <items count="4">
        <item x="0"/>
        <item x="2"/>
        <item x="1"/>
        <item t="default"/>
      </items>
    </pivotField>
    <pivotField dataField="1" showAll="0"/>
  </pivotFields>
  <rowFields count="1">
    <field x="1"/>
  </rowFields>
  <rowItems count="7">
    <i>
      <x v="2"/>
    </i>
    <i>
      <x v="15"/>
    </i>
    <i>
      <x v="20"/>
    </i>
    <i>
      <x v="23"/>
    </i>
    <i>
      <x v="33"/>
    </i>
    <i>
      <x v="35"/>
    </i>
    <i t="grand">
      <x/>
    </i>
  </rowItems>
  <colItems count="1">
    <i/>
  </colItems>
  <dataFields count="1">
    <dataField name="Sum of Total Sales" fld="1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F3DAFD-3F5F-4E71-88B0-24265B0B74B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15" firstHeaderRow="1" firstDataRow="1" firstDataCol="1"/>
  <pivotFields count="12">
    <pivotField showAll="0"/>
    <pivotField axis="axisRow" showAll="0" measureFilter="1">
      <items count="47">
        <item x="40"/>
        <item x="33"/>
        <item x="22"/>
        <item x="29"/>
        <item x="10"/>
        <item x="11"/>
        <item x="13"/>
        <item x="35"/>
        <item x="7"/>
        <item x="19"/>
        <item x="45"/>
        <item x="18"/>
        <item x="16"/>
        <item x="20"/>
        <item x="17"/>
        <item x="21"/>
        <item x="26"/>
        <item x="3"/>
        <item x="2"/>
        <item x="37"/>
        <item x="0"/>
        <item x="38"/>
        <item x="42"/>
        <item x="1"/>
        <item x="30"/>
        <item x="23"/>
        <item x="31"/>
        <item x="28"/>
        <item x="14"/>
        <item x="27"/>
        <item x="36"/>
        <item x="24"/>
        <item x="6"/>
        <item x="4"/>
        <item x="25"/>
        <item x="5"/>
        <item x="32"/>
        <item x="12"/>
        <item x="39"/>
        <item x="41"/>
        <item x="44"/>
        <item x="9"/>
        <item x="34"/>
        <item x="43"/>
        <item x="8"/>
        <item x="15"/>
        <item t="default"/>
      </items>
    </pivotField>
    <pivotField showAll="0"/>
    <pivotField showAll="0"/>
    <pivotField showAll="0">
      <items count="14">
        <item x="10"/>
        <item x="3"/>
        <item x="8"/>
        <item x="1"/>
        <item x="9"/>
        <item x="7"/>
        <item x="5"/>
        <item x="11"/>
        <item x="0"/>
        <item x="12"/>
        <item x="6"/>
        <item x="2"/>
        <item x="4"/>
        <item t="default"/>
      </items>
    </pivotField>
    <pivotField showAll="0"/>
    <pivotField showAll="0"/>
    <pivotField showAll="0"/>
    <pivotField showAll="0"/>
    <pivotField dataField="1" showAll="0"/>
    <pivotField showAll="0">
      <items count="4">
        <item x="0"/>
        <item x="2"/>
        <item x="1"/>
        <item t="default"/>
      </items>
    </pivotField>
    <pivotField showAll="0"/>
  </pivotFields>
  <rowFields count="1">
    <field x="1"/>
  </rowFields>
  <rowItems count="12">
    <i>
      <x v="2"/>
    </i>
    <i>
      <x v="8"/>
    </i>
    <i>
      <x v="13"/>
    </i>
    <i>
      <x v="15"/>
    </i>
    <i>
      <x v="20"/>
    </i>
    <i>
      <x v="23"/>
    </i>
    <i>
      <x v="25"/>
    </i>
    <i>
      <x v="32"/>
    </i>
    <i>
      <x v="33"/>
    </i>
    <i>
      <x v="34"/>
    </i>
    <i>
      <x v="35"/>
    </i>
    <i t="grand">
      <x/>
    </i>
  </rowItems>
  <colItems count="1">
    <i/>
  </colItems>
  <dataFields count="1">
    <dataField name="Sum of Inventry Value"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_Status" xr10:uid="{582F30C2-E6C3-45A6-8017-F911BC17AEAF}" sourceName="Stock Status">
  <pivotTables>
    <pivotTable tabId="3" name="PivotTable8"/>
    <pivotTable tabId="3" name="PivotTable1"/>
    <pivotTable tabId="3" name="PivotTable2"/>
    <pivotTable tabId="3" name="PivotTable4"/>
    <pivotTable tabId="3" name="PivotTable9"/>
    <pivotTable tabId="3" name="PivotTable10"/>
  </pivotTables>
  <data>
    <tabular pivotCacheId="210750295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ber_of_Units_Sold" xr10:uid="{44601FC9-8DAF-4DF6-A27E-0102D5771590}" sourceName="Number of Units Sold">
  <pivotTables>
    <pivotTable tabId="3" name="PivotTable2"/>
    <pivotTable tabId="3" name="PivotTable1"/>
    <pivotTable tabId="3" name="PivotTable10"/>
    <pivotTable tabId="3" name="PivotTable4"/>
    <pivotTable tabId="3" name="PivotTable8"/>
    <pivotTable tabId="3" name="PivotTable9"/>
  </pivotTables>
  <data>
    <tabular pivotCacheId="2107502951">
      <items count="13">
        <i x="10" s="1"/>
        <i x="3" s="1"/>
        <i x="8" s="1"/>
        <i x="1" s="1"/>
        <i x="9" s="1"/>
        <i x="7" s="1"/>
        <i x="5" s="1"/>
        <i x="11" s="1"/>
        <i x="0" s="1"/>
        <i x="12" s="1"/>
        <i x="6"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nd_In_Stock" xr10:uid="{6F80C7B3-D9A9-4257-91B7-4D77B0122807}" sourceName="Hand-In-Stock">
  <pivotTables>
    <pivotTable tabId="3" name="PivotTable4"/>
  </pivotTables>
  <data>
    <tabular pivotCacheId="2107502951">
      <items count="32">
        <i x="28" s="1"/>
        <i x="17" s="1"/>
        <i x="27" s="1"/>
        <i x="30" s="1"/>
        <i x="9" s="1"/>
        <i x="25" s="1"/>
        <i x="18" s="1"/>
        <i x="15" s="1"/>
        <i x="7" s="1"/>
        <i x="24" s="1"/>
        <i x="16" s="1"/>
        <i x="3" s="1"/>
        <i x="10" s="1"/>
        <i x="29" s="1"/>
        <i x="8" s="1"/>
        <i x="23" s="1"/>
        <i x="14" s="1"/>
        <i x="19" s="1"/>
        <i x="1" s="1"/>
        <i x="31" s="1"/>
        <i x="13" s="1"/>
        <i x="5" s="1"/>
        <i x="21" s="1"/>
        <i x="26" s="1"/>
        <i x="0" s="1"/>
        <i x="20" s="1"/>
        <i x="11" s="1"/>
        <i x="6" s="1"/>
        <i x="2" s="1"/>
        <i x="22" s="1"/>
        <i x="1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ck Status" xr10:uid="{33A731B7-9098-4B53-B71E-4609FE7A7493}" cache="Slicer_Stock_Status" caption="Stock Status" style="SlicerStyleLight2" rowHeight="257175"/>
  <slicer name="Number of Units Sold" xr10:uid="{DD53FCAD-33F3-4E8D-A771-BA73611910AC}" cache="Slicer_Number_of_Units_Sold" caption="Number of Units Sold" style="SlicerStyleLight2" rowHeight="257175"/>
  <slicer name="Hand-In-Stock" xr10:uid="{A37502C7-2170-4FD1-95F9-4C5AEE1F77CB}" cache="Slicer_Hand_In_Stock" caption="Hand-In-Stock" style="SlicerStyleLight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C8455B-63A5-47AA-B135-009E7099EBD0}" name="Table1" displayName="Table1" ref="A1:L47" totalsRowShown="0" headerRowDxfId="15" headerRowBorderDxfId="14" tableBorderDxfId="13" totalsRowBorderDxfId="12">
  <autoFilter ref="A1:L47" xr:uid="{41C8455B-63A5-47AA-B135-009E7099EBD0}"/>
  <tableColumns count="12">
    <tableColumn id="1" xr3:uid="{8DA4EAF1-5405-4B6A-BE44-59EE862638D9}" name="Product ID" dataDxfId="11"/>
    <tableColumn id="2" xr3:uid="{A641E439-27BC-4402-9354-821825869188}" name="Product Name" dataDxfId="10"/>
    <tableColumn id="3" xr3:uid="{1345FD84-E7D6-4FBF-B312-88F3F4581D7C}" name="Opening Stock" dataDxfId="9"/>
    <tableColumn id="4" xr3:uid="{117588C2-E121-4894-8279-8F5055D35566}" name="Purchase/Stock in" dataDxfId="8"/>
    <tableColumn id="5" xr3:uid="{9035F632-B23C-448A-BB56-F77DE47AE897}" name="Number of Units Sold" dataDxfId="7"/>
    <tableColumn id="6" xr3:uid="{02652718-0A71-4970-ACB1-0C1CC4DB9675}" name="Hand-In-Stock" dataDxfId="6"/>
    <tableColumn id="7" xr3:uid="{9EA3C565-1121-4280-B2B4-44350F39F313}" name="Cost Price Per Unit (USD)" dataDxfId="5"/>
    <tableColumn id="8" xr3:uid="{A1914E40-674C-435B-8EF2-4486E8366F93}" name="Cost Price_x000a_Total (USD)" dataDxfId="4"/>
    <tableColumn id="9" xr3:uid="{C4AC91E9-2F7B-4078-BE0A-33B28C6C9837}" name="Closing Stock" dataDxfId="3">
      <calculatedColumnFormula>C2+D2-E2</calculatedColumnFormula>
    </tableColumn>
    <tableColumn id="10" xr3:uid="{74557EE5-4C17-4DE7-8D8D-94A18F0A4A54}" name="Inventry Value" dataDxfId="2">
      <calculatedColumnFormula>I2*G2</calculatedColumnFormula>
    </tableColumn>
    <tableColumn id="11" xr3:uid="{CB9260B3-A661-4327-A94F-3FF079C59C30}" name="Stock Status" dataDxfId="1">
      <calculatedColumnFormula>IF(I2&lt;20,"Low",IF(I2&lt;=50,"Normal","High"))</calculatedColumnFormula>
    </tableColumn>
    <tableColumn id="12" xr3:uid="{74D49F76-EAD8-4DCE-A564-F445BDF08978}" name="Total Sales" dataDxfId="0">
      <calculatedColumnFormula>Table1[[#This Row],[Number of Units Sold]]*Table1[[#This Row],[Cost Price Per Unit (USD)]]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78E6D-3ADB-4491-B4E0-17CCF9882C13}">
  <dimension ref="A1"/>
  <sheetViews>
    <sheetView tabSelected="1" workbookViewId="0">
      <selection activeCell="Z4" sqref="Z4"/>
    </sheetView>
  </sheetViews>
  <sheetFormatPr defaultRowHeight="15" x14ac:dyDescent="0.25"/>
  <cols>
    <col min="1" max="16384" width="9.140625"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725E4-AD58-4E25-AB14-E29E47F2848F}">
  <dimension ref="A2:N47"/>
  <sheetViews>
    <sheetView topLeftCell="B1" workbookViewId="0">
      <selection activeCell="H4" sqref="G3:H10"/>
    </sheetView>
  </sheetViews>
  <sheetFormatPr defaultRowHeight="15" x14ac:dyDescent="0.25"/>
  <cols>
    <col min="1" max="1" width="16.5703125" bestFit="1" customWidth="1"/>
    <col min="2" max="2" width="27.42578125" bestFit="1" customWidth="1"/>
    <col min="4" max="4" width="17.85546875" bestFit="1" customWidth="1"/>
    <col min="5" max="5" width="20.85546875" bestFit="1" customWidth="1"/>
    <col min="7" max="7" width="13.7109375" bestFit="1" customWidth="1"/>
    <col min="8" max="8" width="17.7109375" bestFit="1" customWidth="1"/>
    <col min="10" max="10" width="13.42578125" bestFit="1" customWidth="1"/>
    <col min="11" max="11" width="19" bestFit="1" customWidth="1"/>
    <col min="13" max="13" width="25" bestFit="1" customWidth="1"/>
    <col min="14" max="14" width="17.7109375" bestFit="1" customWidth="1"/>
  </cols>
  <sheetData>
    <row r="2" spans="1:14" x14ac:dyDescent="0.25">
      <c r="M2" s="13" t="s">
        <v>103</v>
      </c>
      <c r="N2" t="s">
        <v>108</v>
      </c>
    </row>
    <row r="3" spans="1:14" x14ac:dyDescent="0.25">
      <c r="A3" s="13" t="s">
        <v>103</v>
      </c>
      <c r="B3" t="s">
        <v>105</v>
      </c>
      <c r="D3" s="13" t="s">
        <v>103</v>
      </c>
      <c r="E3" t="s">
        <v>106</v>
      </c>
      <c r="G3" s="13" t="s">
        <v>103</v>
      </c>
      <c r="H3" t="s">
        <v>108</v>
      </c>
      <c r="J3" s="13" t="s">
        <v>103</v>
      </c>
      <c r="K3" t="s">
        <v>110</v>
      </c>
      <c r="M3" s="14" t="s">
        <v>84</v>
      </c>
      <c r="N3" s="16">
        <v>30</v>
      </c>
    </row>
    <row r="4" spans="1:14" x14ac:dyDescent="0.25">
      <c r="A4" s="14" t="s">
        <v>30</v>
      </c>
      <c r="B4" s="16">
        <v>15</v>
      </c>
      <c r="D4" s="14" t="s">
        <v>48</v>
      </c>
      <c r="E4" s="16">
        <v>13300</v>
      </c>
      <c r="G4" s="14" t="s">
        <v>48</v>
      </c>
      <c r="H4" s="16">
        <v>2450</v>
      </c>
      <c r="J4" s="14" t="s">
        <v>113</v>
      </c>
      <c r="K4" s="16">
        <v>14</v>
      </c>
      <c r="M4" s="14" t="s">
        <v>70</v>
      </c>
      <c r="N4" s="16">
        <v>60</v>
      </c>
    </row>
    <row r="5" spans="1:14" x14ac:dyDescent="0.25">
      <c r="A5" s="14" t="s">
        <v>46</v>
      </c>
      <c r="B5" s="16">
        <v>9</v>
      </c>
      <c r="D5" s="14" t="s">
        <v>18</v>
      </c>
      <c r="E5" s="16">
        <v>6400</v>
      </c>
      <c r="G5" s="14" t="s">
        <v>46</v>
      </c>
      <c r="H5" s="16">
        <v>5400</v>
      </c>
      <c r="J5" s="14" t="s">
        <v>112</v>
      </c>
      <c r="K5" s="16">
        <v>2</v>
      </c>
      <c r="M5" s="14" t="s">
        <v>48</v>
      </c>
      <c r="N5" s="16">
        <v>2450</v>
      </c>
    </row>
    <row r="6" spans="1:14" x14ac:dyDescent="0.25">
      <c r="A6" s="14" t="s">
        <v>56</v>
      </c>
      <c r="B6" s="16">
        <v>12</v>
      </c>
      <c r="D6" s="14" t="s">
        <v>44</v>
      </c>
      <c r="E6" s="16">
        <v>12400</v>
      </c>
      <c r="G6" s="14" t="s">
        <v>4</v>
      </c>
      <c r="H6" s="16">
        <v>12000</v>
      </c>
      <c r="J6" s="14" t="s">
        <v>109</v>
      </c>
      <c r="K6" s="16">
        <v>30</v>
      </c>
      <c r="M6" s="14" t="s">
        <v>62</v>
      </c>
      <c r="N6" s="16">
        <v>200</v>
      </c>
    </row>
    <row r="7" spans="1:14" x14ac:dyDescent="0.25">
      <c r="A7" s="14" t="s">
        <v>8</v>
      </c>
      <c r="B7" s="16">
        <v>15</v>
      </c>
      <c r="D7" s="14" t="s">
        <v>46</v>
      </c>
      <c r="E7" s="16">
        <v>29400</v>
      </c>
      <c r="G7" s="14" t="s">
        <v>6</v>
      </c>
      <c r="H7" s="16">
        <v>2500</v>
      </c>
      <c r="J7" s="14" t="s">
        <v>104</v>
      </c>
      <c r="K7" s="16">
        <v>46</v>
      </c>
      <c r="M7" s="14" t="s">
        <v>24</v>
      </c>
      <c r="N7" s="16">
        <v>450</v>
      </c>
    </row>
    <row r="8" spans="1:14" x14ac:dyDescent="0.25">
      <c r="A8" s="14" t="s">
        <v>78</v>
      </c>
      <c r="B8" s="16">
        <v>9</v>
      </c>
      <c r="D8" s="14" t="s">
        <v>4</v>
      </c>
      <c r="E8" s="16">
        <v>72000</v>
      </c>
      <c r="G8" s="14" t="s">
        <v>12</v>
      </c>
      <c r="H8" s="16">
        <v>18000</v>
      </c>
      <c r="M8" s="14" t="s">
        <v>26</v>
      </c>
      <c r="N8" s="16">
        <v>210</v>
      </c>
    </row>
    <row r="9" spans="1:14" x14ac:dyDescent="0.25">
      <c r="A9" s="14" t="s">
        <v>4</v>
      </c>
      <c r="B9" s="16">
        <v>10</v>
      </c>
      <c r="D9" s="14" t="s">
        <v>6</v>
      </c>
      <c r="E9" s="16">
        <v>25000</v>
      </c>
      <c r="G9" s="14" t="s">
        <v>14</v>
      </c>
      <c r="H9" s="16">
        <v>5600</v>
      </c>
      <c r="M9" s="14" t="s">
        <v>30</v>
      </c>
      <c r="N9" s="16">
        <v>150</v>
      </c>
    </row>
    <row r="10" spans="1:14" x14ac:dyDescent="0.25">
      <c r="A10" s="14" t="s">
        <v>60</v>
      </c>
      <c r="B10" s="16">
        <v>9</v>
      </c>
      <c r="D10" s="14" t="s">
        <v>50</v>
      </c>
      <c r="E10" s="16">
        <v>6400</v>
      </c>
      <c r="G10" s="14" t="s">
        <v>104</v>
      </c>
      <c r="H10" s="16">
        <v>45950</v>
      </c>
      <c r="M10" s="14" t="s">
        <v>74</v>
      </c>
      <c r="N10" s="16">
        <v>100</v>
      </c>
    </row>
    <row r="11" spans="1:14" x14ac:dyDescent="0.25">
      <c r="A11" s="14" t="s">
        <v>52</v>
      </c>
      <c r="B11" s="16">
        <v>11</v>
      </c>
      <c r="D11" s="14" t="s">
        <v>16</v>
      </c>
      <c r="E11" s="16">
        <v>9750</v>
      </c>
      <c r="M11" s="14" t="s">
        <v>18</v>
      </c>
      <c r="N11" s="16">
        <v>1000</v>
      </c>
    </row>
    <row r="12" spans="1:14" x14ac:dyDescent="0.25">
      <c r="A12" s="14" t="s">
        <v>16</v>
      </c>
      <c r="B12" s="16">
        <v>12</v>
      </c>
      <c r="D12" s="14" t="s">
        <v>12</v>
      </c>
      <c r="E12" s="16">
        <v>72000</v>
      </c>
      <c r="M12" s="14" t="s">
        <v>42</v>
      </c>
      <c r="N12" s="16">
        <v>400</v>
      </c>
    </row>
    <row r="13" spans="1:14" x14ac:dyDescent="0.25">
      <c r="A13" s="14" t="s">
        <v>12</v>
      </c>
      <c r="B13" s="16">
        <v>20</v>
      </c>
      <c r="D13" s="14" t="s">
        <v>54</v>
      </c>
      <c r="E13" s="16">
        <v>6840</v>
      </c>
      <c r="M13" s="14" t="s">
        <v>94</v>
      </c>
      <c r="N13" s="16">
        <v>450</v>
      </c>
    </row>
    <row r="14" spans="1:14" x14ac:dyDescent="0.25">
      <c r="A14" s="14" t="s">
        <v>28</v>
      </c>
      <c r="B14" s="16">
        <v>12</v>
      </c>
      <c r="D14" s="14" t="s">
        <v>14</v>
      </c>
      <c r="E14" s="16">
        <v>38500</v>
      </c>
      <c r="G14" s="13" t="s">
        <v>103</v>
      </c>
      <c r="H14" t="s">
        <v>111</v>
      </c>
      <c r="M14" s="14" t="s">
        <v>40</v>
      </c>
      <c r="N14" s="16">
        <v>360</v>
      </c>
    </row>
    <row r="15" spans="1:14" x14ac:dyDescent="0.25">
      <c r="A15" s="14" t="s">
        <v>92</v>
      </c>
      <c r="B15" s="16">
        <v>9</v>
      </c>
      <c r="D15" s="14" t="s">
        <v>104</v>
      </c>
      <c r="E15" s="16">
        <v>291990</v>
      </c>
      <c r="G15" s="14" t="s">
        <v>30</v>
      </c>
      <c r="H15" s="16">
        <v>30</v>
      </c>
      <c r="M15" s="14" t="s">
        <v>36</v>
      </c>
      <c r="N15" s="16">
        <v>400</v>
      </c>
    </row>
    <row r="16" spans="1:14" x14ac:dyDescent="0.25">
      <c r="A16" s="14" t="s">
        <v>22</v>
      </c>
      <c r="B16" s="16">
        <v>10</v>
      </c>
      <c r="G16" s="14" t="s">
        <v>56</v>
      </c>
      <c r="H16" s="16">
        <v>25</v>
      </c>
      <c r="M16" s="14" t="s">
        <v>44</v>
      </c>
      <c r="N16" s="16">
        <v>1600</v>
      </c>
    </row>
    <row r="17" spans="1:14" x14ac:dyDescent="0.25">
      <c r="A17" s="14" t="s">
        <v>104</v>
      </c>
      <c r="B17" s="16">
        <v>153</v>
      </c>
      <c r="G17" s="14" t="s">
        <v>8</v>
      </c>
      <c r="H17" s="16">
        <v>25</v>
      </c>
      <c r="M17" s="14" t="s">
        <v>38</v>
      </c>
      <c r="N17" s="16">
        <v>480</v>
      </c>
    </row>
    <row r="18" spans="1:14" x14ac:dyDescent="0.25">
      <c r="G18" s="14" t="s">
        <v>52</v>
      </c>
      <c r="H18" s="16">
        <v>22</v>
      </c>
      <c r="M18" s="14" t="s">
        <v>46</v>
      </c>
      <c r="N18" s="16">
        <v>5400</v>
      </c>
    </row>
    <row r="19" spans="1:14" x14ac:dyDescent="0.25">
      <c r="G19" s="14" t="s">
        <v>16</v>
      </c>
      <c r="H19" s="16">
        <v>22</v>
      </c>
      <c r="M19" s="14" t="s">
        <v>56</v>
      </c>
      <c r="N19" s="16">
        <v>720</v>
      </c>
    </row>
    <row r="20" spans="1:14" x14ac:dyDescent="0.25">
      <c r="G20" s="14" t="s">
        <v>12</v>
      </c>
      <c r="H20" s="16">
        <v>30</v>
      </c>
      <c r="M20" s="14" t="s">
        <v>10</v>
      </c>
      <c r="N20" s="16">
        <v>300</v>
      </c>
    </row>
    <row r="21" spans="1:14" x14ac:dyDescent="0.25">
      <c r="G21" s="14" t="s">
        <v>28</v>
      </c>
      <c r="H21" s="16">
        <v>25</v>
      </c>
      <c r="M21" s="14" t="s">
        <v>8</v>
      </c>
      <c r="N21" s="16">
        <v>750</v>
      </c>
    </row>
    <row r="22" spans="1:14" x14ac:dyDescent="0.25">
      <c r="G22" s="14" t="s">
        <v>104</v>
      </c>
      <c r="H22" s="16">
        <v>179</v>
      </c>
      <c r="M22" s="14" t="s">
        <v>78</v>
      </c>
      <c r="N22" s="16">
        <v>72</v>
      </c>
    </row>
    <row r="23" spans="1:14" x14ac:dyDescent="0.25">
      <c r="M23" s="14" t="s">
        <v>4</v>
      </c>
      <c r="N23" s="16">
        <v>12000</v>
      </c>
    </row>
    <row r="24" spans="1:14" x14ac:dyDescent="0.25">
      <c r="M24" s="14" t="s">
        <v>80</v>
      </c>
      <c r="N24" s="16">
        <v>120</v>
      </c>
    </row>
    <row r="25" spans="1:14" x14ac:dyDescent="0.25">
      <c r="M25" s="14" t="s">
        <v>88</v>
      </c>
      <c r="N25" s="16">
        <v>100</v>
      </c>
    </row>
    <row r="26" spans="1:14" x14ac:dyDescent="0.25">
      <c r="M26" s="14" t="s">
        <v>6</v>
      </c>
      <c r="N26" s="16">
        <v>2500</v>
      </c>
    </row>
    <row r="27" spans="1:14" x14ac:dyDescent="0.25">
      <c r="M27" s="14" t="s">
        <v>64</v>
      </c>
      <c r="N27" s="16">
        <v>90</v>
      </c>
    </row>
    <row r="28" spans="1:14" x14ac:dyDescent="0.25">
      <c r="M28" s="14" t="s">
        <v>50</v>
      </c>
      <c r="N28" s="16">
        <v>1000</v>
      </c>
    </row>
    <row r="29" spans="1:14" x14ac:dyDescent="0.25">
      <c r="M29" s="14" t="s">
        <v>66</v>
      </c>
      <c r="N29" s="16">
        <v>80</v>
      </c>
    </row>
    <row r="30" spans="1:14" x14ac:dyDescent="0.25">
      <c r="M30" s="14" t="s">
        <v>60</v>
      </c>
      <c r="N30" s="16">
        <v>720</v>
      </c>
    </row>
    <row r="31" spans="1:14" x14ac:dyDescent="0.25">
      <c r="M31" s="14" t="s">
        <v>32</v>
      </c>
      <c r="N31" s="16">
        <v>200</v>
      </c>
    </row>
    <row r="32" spans="1:14" x14ac:dyDescent="0.25">
      <c r="M32" s="14" t="s">
        <v>58</v>
      </c>
      <c r="N32" s="16">
        <v>600</v>
      </c>
    </row>
    <row r="33" spans="13:14" x14ac:dyDescent="0.25">
      <c r="M33" s="14" t="s">
        <v>52</v>
      </c>
      <c r="N33" s="16">
        <v>880</v>
      </c>
    </row>
    <row r="34" spans="13:14" x14ac:dyDescent="0.25">
      <c r="M34" s="14" t="s">
        <v>16</v>
      </c>
      <c r="N34" s="16">
        <v>1800</v>
      </c>
    </row>
    <row r="35" spans="13:14" x14ac:dyDescent="0.25">
      <c r="M35" s="14" t="s">
        <v>12</v>
      </c>
      <c r="N35" s="16">
        <v>18000</v>
      </c>
    </row>
    <row r="36" spans="13:14" x14ac:dyDescent="0.25">
      <c r="M36" s="14" t="s">
        <v>54</v>
      </c>
      <c r="N36" s="16">
        <v>960</v>
      </c>
    </row>
    <row r="37" spans="13:14" x14ac:dyDescent="0.25">
      <c r="M37" s="14" t="s">
        <v>14</v>
      </c>
      <c r="N37" s="16">
        <v>5600</v>
      </c>
    </row>
    <row r="38" spans="13:14" x14ac:dyDescent="0.25">
      <c r="M38" s="14" t="s">
        <v>28</v>
      </c>
      <c r="N38" s="16">
        <v>240</v>
      </c>
    </row>
    <row r="39" spans="13:14" x14ac:dyDescent="0.25">
      <c r="M39" s="14" t="s">
        <v>82</v>
      </c>
      <c r="N39" s="16">
        <v>60</v>
      </c>
    </row>
    <row r="40" spans="13:14" x14ac:dyDescent="0.25">
      <c r="M40" s="14" t="s">
        <v>86</v>
      </c>
      <c r="N40" s="16">
        <v>60</v>
      </c>
    </row>
    <row r="41" spans="13:14" x14ac:dyDescent="0.25">
      <c r="M41" s="14" t="s">
        <v>92</v>
      </c>
      <c r="N41" s="16">
        <v>72</v>
      </c>
    </row>
    <row r="42" spans="13:14" x14ac:dyDescent="0.25">
      <c r="M42" s="14" t="s">
        <v>22</v>
      </c>
      <c r="N42" s="16">
        <v>600</v>
      </c>
    </row>
    <row r="43" spans="13:14" x14ac:dyDescent="0.25">
      <c r="M43" s="14" t="s">
        <v>72</v>
      </c>
      <c r="N43" s="16">
        <v>60</v>
      </c>
    </row>
    <row r="44" spans="13:14" x14ac:dyDescent="0.25">
      <c r="M44" s="14" t="s">
        <v>90</v>
      </c>
      <c r="N44" s="16">
        <v>210</v>
      </c>
    </row>
    <row r="45" spans="13:14" x14ac:dyDescent="0.25">
      <c r="M45" s="14" t="s">
        <v>20</v>
      </c>
      <c r="N45" s="16">
        <v>560</v>
      </c>
    </row>
    <row r="46" spans="13:14" x14ac:dyDescent="0.25">
      <c r="M46" s="14" t="s">
        <v>34</v>
      </c>
      <c r="N46" s="16">
        <v>200</v>
      </c>
    </row>
    <row r="47" spans="13:14" x14ac:dyDescent="0.25">
      <c r="M47" s="14" t="s">
        <v>104</v>
      </c>
      <c r="N47" s="16">
        <v>62294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887A2-5E74-4E54-9CA6-3EA8F53C3D03}">
  <dimension ref="A1:L47"/>
  <sheetViews>
    <sheetView showGridLines="0" workbookViewId="0">
      <selection activeCell="K2" sqref="K2"/>
    </sheetView>
  </sheetViews>
  <sheetFormatPr defaultColWidth="8.85546875" defaultRowHeight="15" x14ac:dyDescent="0.25"/>
  <cols>
    <col min="1" max="1" width="13.5703125" style="1" customWidth="1"/>
    <col min="2" max="2" width="20.85546875" style="1" customWidth="1"/>
    <col min="3" max="3" width="23" style="1" customWidth="1"/>
    <col min="4" max="4" width="21.5703125" style="1" customWidth="1"/>
    <col min="5" max="5" width="30.140625" style="1" customWidth="1"/>
    <col min="6" max="6" width="17" style="1" customWidth="1"/>
    <col min="7" max="7" width="27.28515625" style="1" customWidth="1"/>
    <col min="8" max="8" width="13.7109375" style="1" customWidth="1"/>
    <col min="9" max="9" width="17.42578125" style="1" customWidth="1"/>
    <col min="10" max="10" width="19" style="1" customWidth="1"/>
    <col min="11" max="11" width="15.28515625" style="1" customWidth="1"/>
    <col min="12" max="12" width="15" style="1" customWidth="1"/>
    <col min="13" max="16384" width="8.85546875" style="1"/>
  </cols>
  <sheetData>
    <row r="1" spans="1:12" ht="31.5" x14ac:dyDescent="0.25">
      <c r="A1" s="6" t="s">
        <v>0</v>
      </c>
      <c r="B1" s="7" t="s">
        <v>1</v>
      </c>
      <c r="C1" s="7" t="s">
        <v>95</v>
      </c>
      <c r="D1" s="7" t="s">
        <v>96</v>
      </c>
      <c r="E1" s="7" t="s">
        <v>97</v>
      </c>
      <c r="F1" s="7" t="s">
        <v>98</v>
      </c>
      <c r="G1" s="7" t="s">
        <v>99</v>
      </c>
      <c r="H1" s="7" t="s">
        <v>2</v>
      </c>
      <c r="I1" s="7" t="s">
        <v>100</v>
      </c>
      <c r="J1" s="7" t="s">
        <v>101</v>
      </c>
      <c r="K1" s="8" t="s">
        <v>102</v>
      </c>
      <c r="L1" s="7" t="s">
        <v>107</v>
      </c>
    </row>
    <row r="2" spans="1:12" x14ac:dyDescent="0.25">
      <c r="A2" s="4" t="s">
        <v>3</v>
      </c>
      <c r="B2" s="2" t="s">
        <v>4</v>
      </c>
      <c r="C2" s="2">
        <v>50</v>
      </c>
      <c r="D2" s="2">
        <v>20</v>
      </c>
      <c r="E2" s="2">
        <v>10</v>
      </c>
      <c r="F2" s="2">
        <v>60</v>
      </c>
      <c r="G2" s="2">
        <v>1200</v>
      </c>
      <c r="H2" s="2">
        <v>72000</v>
      </c>
      <c r="I2" s="3">
        <f>C2+D2-E2</f>
        <v>60</v>
      </c>
      <c r="J2" s="3">
        <f>I2*G2</f>
        <v>72000</v>
      </c>
      <c r="K2" s="5" t="str">
        <f>IF(I2&lt;20,"Low",IF(I2&lt;=50,"Normal","High"))</f>
        <v>High</v>
      </c>
      <c r="L2" s="1">
        <f>Table1[[#This Row],[Number of Units Sold]]*Table1[[#This Row],[Cost Price Per Unit (USD)]]</f>
        <v>12000</v>
      </c>
    </row>
    <row r="3" spans="1:12" x14ac:dyDescent="0.25">
      <c r="A3" s="4" t="s">
        <v>5</v>
      </c>
      <c r="B3" s="2" t="s">
        <v>6</v>
      </c>
      <c r="C3" s="2">
        <v>40</v>
      </c>
      <c r="D3" s="2">
        <v>15</v>
      </c>
      <c r="E3" s="2">
        <v>5</v>
      </c>
      <c r="F3" s="2">
        <v>50</v>
      </c>
      <c r="G3" s="2">
        <v>500</v>
      </c>
      <c r="H3" s="2">
        <v>25000</v>
      </c>
      <c r="I3" s="3">
        <f t="shared" ref="I3:I47" si="0">C3+D3-E3</f>
        <v>50</v>
      </c>
      <c r="J3" s="3">
        <f t="shared" ref="J3:J47" si="1">I3*G3</f>
        <v>25000</v>
      </c>
      <c r="K3" s="5" t="str">
        <f t="shared" ref="K3:K47" si="2">IF(I3&lt;20,"Low",IF(I3&lt;=50,"Normal","High"))</f>
        <v>Normal</v>
      </c>
      <c r="L3" s="1">
        <f>Table1[[#This Row],[Number of Units Sold]]*Table1[[#This Row],[Cost Price Per Unit (USD)]]</f>
        <v>2500</v>
      </c>
    </row>
    <row r="4" spans="1:12" x14ac:dyDescent="0.25">
      <c r="A4" s="4" t="s">
        <v>7</v>
      </c>
      <c r="B4" s="2" t="s">
        <v>8</v>
      </c>
      <c r="C4" s="2">
        <v>60</v>
      </c>
      <c r="D4" s="2">
        <v>25</v>
      </c>
      <c r="E4" s="2">
        <v>15</v>
      </c>
      <c r="F4" s="2">
        <v>70</v>
      </c>
      <c r="G4" s="2">
        <v>50</v>
      </c>
      <c r="H4" s="2">
        <v>3500</v>
      </c>
      <c r="I4" s="3">
        <f t="shared" si="0"/>
        <v>70</v>
      </c>
      <c r="J4" s="3">
        <f t="shared" si="1"/>
        <v>3500</v>
      </c>
      <c r="K4" s="5" t="str">
        <f t="shared" si="2"/>
        <v>High</v>
      </c>
      <c r="L4" s="1">
        <f>Table1[[#This Row],[Number of Units Sold]]*Table1[[#This Row],[Cost Price Per Unit (USD)]]</f>
        <v>750</v>
      </c>
    </row>
    <row r="5" spans="1:12" x14ac:dyDescent="0.25">
      <c r="A5" s="4" t="s">
        <v>9</v>
      </c>
      <c r="B5" s="2" t="s">
        <v>10</v>
      </c>
      <c r="C5" s="2">
        <v>30</v>
      </c>
      <c r="D5" s="2">
        <v>10</v>
      </c>
      <c r="E5" s="2">
        <v>3</v>
      </c>
      <c r="F5" s="2">
        <v>37</v>
      </c>
      <c r="G5" s="2">
        <v>100</v>
      </c>
      <c r="H5" s="2">
        <v>3700</v>
      </c>
      <c r="I5" s="3">
        <f t="shared" si="0"/>
        <v>37</v>
      </c>
      <c r="J5" s="3">
        <f t="shared" si="1"/>
        <v>3700</v>
      </c>
      <c r="K5" s="5" t="str">
        <f t="shared" si="2"/>
        <v>Normal</v>
      </c>
      <c r="L5" s="1">
        <f>Table1[[#This Row],[Number of Units Sold]]*Table1[[#This Row],[Cost Price Per Unit (USD)]]</f>
        <v>300</v>
      </c>
    </row>
    <row r="6" spans="1:12" x14ac:dyDescent="0.25">
      <c r="A6" s="4" t="s">
        <v>11</v>
      </c>
      <c r="B6" s="2" t="s">
        <v>12</v>
      </c>
      <c r="C6" s="2">
        <v>70</v>
      </c>
      <c r="D6" s="2">
        <v>30</v>
      </c>
      <c r="E6" s="2">
        <v>20</v>
      </c>
      <c r="F6" s="2">
        <v>80</v>
      </c>
      <c r="G6" s="2">
        <v>900</v>
      </c>
      <c r="H6" s="2">
        <v>72000</v>
      </c>
      <c r="I6" s="3">
        <f t="shared" si="0"/>
        <v>80</v>
      </c>
      <c r="J6" s="3">
        <f t="shared" si="1"/>
        <v>72000</v>
      </c>
      <c r="K6" s="5" t="str">
        <f t="shared" si="2"/>
        <v>High</v>
      </c>
      <c r="L6" s="1">
        <f>Table1[[#This Row],[Number of Units Sold]]*Table1[[#This Row],[Cost Price Per Unit (USD)]]</f>
        <v>18000</v>
      </c>
    </row>
    <row r="7" spans="1:12" x14ac:dyDescent="0.25">
      <c r="A7" s="4" t="s">
        <v>13</v>
      </c>
      <c r="B7" s="2" t="s">
        <v>14</v>
      </c>
      <c r="C7" s="2">
        <v>45</v>
      </c>
      <c r="D7" s="2">
        <v>18</v>
      </c>
      <c r="E7" s="2">
        <v>8</v>
      </c>
      <c r="F7" s="2">
        <v>55</v>
      </c>
      <c r="G7" s="2">
        <v>700</v>
      </c>
      <c r="H7" s="2">
        <v>38500</v>
      </c>
      <c r="I7" s="3">
        <f t="shared" si="0"/>
        <v>55</v>
      </c>
      <c r="J7" s="3">
        <f t="shared" si="1"/>
        <v>38500</v>
      </c>
      <c r="K7" s="5" t="str">
        <f t="shared" si="2"/>
        <v>High</v>
      </c>
      <c r="L7" s="1">
        <f>Table1[[#This Row],[Number of Units Sold]]*Table1[[#This Row],[Cost Price Per Unit (USD)]]</f>
        <v>5600</v>
      </c>
    </row>
    <row r="8" spans="1:12" x14ac:dyDescent="0.25">
      <c r="A8" s="4" t="s">
        <v>15</v>
      </c>
      <c r="B8" s="2" t="s">
        <v>16</v>
      </c>
      <c r="C8" s="2">
        <v>55</v>
      </c>
      <c r="D8" s="2">
        <v>22</v>
      </c>
      <c r="E8" s="2">
        <v>12</v>
      </c>
      <c r="F8" s="2">
        <v>65</v>
      </c>
      <c r="G8" s="2">
        <v>150</v>
      </c>
      <c r="H8" s="2">
        <v>9750</v>
      </c>
      <c r="I8" s="3">
        <f t="shared" si="0"/>
        <v>65</v>
      </c>
      <c r="J8" s="3">
        <f t="shared" si="1"/>
        <v>9750</v>
      </c>
      <c r="K8" s="5" t="str">
        <f t="shared" si="2"/>
        <v>High</v>
      </c>
      <c r="L8" s="1">
        <f>Table1[[#This Row],[Number of Units Sold]]*Table1[[#This Row],[Cost Price Per Unit (USD)]]</f>
        <v>1800</v>
      </c>
    </row>
    <row r="9" spans="1:12" x14ac:dyDescent="0.25">
      <c r="A9" s="4" t="s">
        <v>17</v>
      </c>
      <c r="B9" s="2" t="s">
        <v>18</v>
      </c>
      <c r="C9" s="2">
        <v>25</v>
      </c>
      <c r="D9" s="2">
        <v>12</v>
      </c>
      <c r="E9" s="2">
        <v>5</v>
      </c>
      <c r="F9" s="2">
        <v>32</v>
      </c>
      <c r="G9" s="2">
        <v>200</v>
      </c>
      <c r="H9" s="2">
        <v>6400</v>
      </c>
      <c r="I9" s="3">
        <f t="shared" si="0"/>
        <v>32</v>
      </c>
      <c r="J9" s="3">
        <f t="shared" si="1"/>
        <v>6400</v>
      </c>
      <c r="K9" s="5" t="str">
        <f t="shared" si="2"/>
        <v>Normal</v>
      </c>
      <c r="L9" s="1">
        <f>Table1[[#This Row],[Number of Units Sold]]*Table1[[#This Row],[Cost Price Per Unit (USD)]]</f>
        <v>1000</v>
      </c>
    </row>
    <row r="10" spans="1:12" x14ac:dyDescent="0.25">
      <c r="A10" s="4" t="s">
        <v>19</v>
      </c>
      <c r="B10" s="2" t="s">
        <v>20</v>
      </c>
      <c r="C10" s="2">
        <v>35</v>
      </c>
      <c r="D10" s="2">
        <v>15</v>
      </c>
      <c r="E10" s="2">
        <v>7</v>
      </c>
      <c r="F10" s="2">
        <v>43</v>
      </c>
      <c r="G10" s="2">
        <v>80</v>
      </c>
      <c r="H10" s="2">
        <v>3440</v>
      </c>
      <c r="I10" s="3">
        <f t="shared" si="0"/>
        <v>43</v>
      </c>
      <c r="J10" s="3">
        <f t="shared" si="1"/>
        <v>3440</v>
      </c>
      <c r="K10" s="5" t="str">
        <f t="shared" si="2"/>
        <v>Normal</v>
      </c>
      <c r="L10" s="1">
        <f>Table1[[#This Row],[Number of Units Sold]]*Table1[[#This Row],[Cost Price Per Unit (USD)]]</f>
        <v>560</v>
      </c>
    </row>
    <row r="11" spans="1:12" x14ac:dyDescent="0.25">
      <c r="A11" s="4" t="s">
        <v>21</v>
      </c>
      <c r="B11" s="2" t="s">
        <v>22</v>
      </c>
      <c r="C11" s="2">
        <v>40</v>
      </c>
      <c r="D11" s="2">
        <v>20</v>
      </c>
      <c r="E11" s="2">
        <v>10</v>
      </c>
      <c r="F11" s="2">
        <v>50</v>
      </c>
      <c r="G11" s="2">
        <v>60</v>
      </c>
      <c r="H11" s="2">
        <v>3000</v>
      </c>
      <c r="I11" s="3">
        <f t="shared" si="0"/>
        <v>50</v>
      </c>
      <c r="J11" s="3">
        <f t="shared" si="1"/>
        <v>3000</v>
      </c>
      <c r="K11" s="5" t="str">
        <f t="shared" si="2"/>
        <v>Normal</v>
      </c>
      <c r="L11" s="1">
        <f>Table1[[#This Row],[Number of Units Sold]]*Table1[[#This Row],[Cost Price Per Unit (USD)]]</f>
        <v>600</v>
      </c>
    </row>
    <row r="12" spans="1:12" x14ac:dyDescent="0.25">
      <c r="A12" s="4" t="s">
        <v>23</v>
      </c>
      <c r="B12" s="2" t="s">
        <v>24</v>
      </c>
      <c r="C12" s="2">
        <v>20</v>
      </c>
      <c r="D12" s="2">
        <v>8</v>
      </c>
      <c r="E12" s="2">
        <v>3</v>
      </c>
      <c r="F12" s="2">
        <v>25</v>
      </c>
      <c r="G12" s="2">
        <v>150</v>
      </c>
      <c r="H12" s="2">
        <v>3750</v>
      </c>
      <c r="I12" s="3">
        <f t="shared" si="0"/>
        <v>25</v>
      </c>
      <c r="J12" s="3">
        <f t="shared" si="1"/>
        <v>3750</v>
      </c>
      <c r="K12" s="5" t="str">
        <f t="shared" si="2"/>
        <v>Normal</v>
      </c>
      <c r="L12" s="1">
        <f>Table1[[#This Row],[Number of Units Sold]]*Table1[[#This Row],[Cost Price Per Unit (USD)]]</f>
        <v>450</v>
      </c>
    </row>
    <row r="13" spans="1:12" x14ac:dyDescent="0.25">
      <c r="A13" s="4" t="s">
        <v>25</v>
      </c>
      <c r="B13" s="2" t="s">
        <v>26</v>
      </c>
      <c r="C13" s="2">
        <v>30</v>
      </c>
      <c r="D13" s="2">
        <v>15</v>
      </c>
      <c r="E13" s="2">
        <v>7</v>
      </c>
      <c r="F13" s="2">
        <v>38</v>
      </c>
      <c r="G13" s="2">
        <v>30</v>
      </c>
      <c r="H13" s="2">
        <v>1140</v>
      </c>
      <c r="I13" s="3">
        <f t="shared" si="0"/>
        <v>38</v>
      </c>
      <c r="J13" s="3">
        <f t="shared" si="1"/>
        <v>1140</v>
      </c>
      <c r="K13" s="5" t="str">
        <f t="shared" si="2"/>
        <v>Normal</v>
      </c>
      <c r="L13" s="1">
        <f>Table1[[#This Row],[Number of Units Sold]]*Table1[[#This Row],[Cost Price Per Unit (USD)]]</f>
        <v>210</v>
      </c>
    </row>
    <row r="14" spans="1:12" x14ac:dyDescent="0.25">
      <c r="A14" s="4" t="s">
        <v>27</v>
      </c>
      <c r="B14" s="2" t="s">
        <v>28</v>
      </c>
      <c r="C14" s="2">
        <v>50</v>
      </c>
      <c r="D14" s="2">
        <v>25</v>
      </c>
      <c r="E14" s="2">
        <v>12</v>
      </c>
      <c r="F14" s="2">
        <v>63</v>
      </c>
      <c r="G14" s="2">
        <v>20</v>
      </c>
      <c r="H14" s="2">
        <v>1260</v>
      </c>
      <c r="I14" s="3">
        <f t="shared" si="0"/>
        <v>63</v>
      </c>
      <c r="J14" s="3">
        <f t="shared" si="1"/>
        <v>1260</v>
      </c>
      <c r="K14" s="5" t="str">
        <f t="shared" si="2"/>
        <v>High</v>
      </c>
      <c r="L14" s="1">
        <f>Table1[[#This Row],[Number of Units Sold]]*Table1[[#This Row],[Cost Price Per Unit (USD)]]</f>
        <v>240</v>
      </c>
    </row>
    <row r="15" spans="1:12" x14ac:dyDescent="0.25">
      <c r="A15" s="4" t="s">
        <v>29</v>
      </c>
      <c r="B15" s="2" t="s">
        <v>30</v>
      </c>
      <c r="C15" s="2">
        <v>60</v>
      </c>
      <c r="D15" s="2">
        <v>30</v>
      </c>
      <c r="E15" s="2">
        <v>15</v>
      </c>
      <c r="F15" s="2">
        <v>75</v>
      </c>
      <c r="G15" s="2">
        <v>10</v>
      </c>
      <c r="H15" s="2">
        <v>750</v>
      </c>
      <c r="I15" s="3">
        <f t="shared" si="0"/>
        <v>75</v>
      </c>
      <c r="J15" s="3">
        <f t="shared" si="1"/>
        <v>750</v>
      </c>
      <c r="K15" s="5" t="str">
        <f t="shared" si="2"/>
        <v>High</v>
      </c>
      <c r="L15" s="1">
        <f>Table1[[#This Row],[Number of Units Sold]]*Table1[[#This Row],[Cost Price Per Unit (USD)]]</f>
        <v>150</v>
      </c>
    </row>
    <row r="16" spans="1:12" x14ac:dyDescent="0.25">
      <c r="A16" s="4" t="s">
        <v>31</v>
      </c>
      <c r="B16" s="2" t="s">
        <v>32</v>
      </c>
      <c r="C16" s="2">
        <v>40</v>
      </c>
      <c r="D16" s="2">
        <v>20</v>
      </c>
      <c r="E16" s="2">
        <v>8</v>
      </c>
      <c r="F16" s="2">
        <v>52</v>
      </c>
      <c r="G16" s="2">
        <v>25</v>
      </c>
      <c r="H16" s="2">
        <v>1300</v>
      </c>
      <c r="I16" s="3">
        <f t="shared" si="0"/>
        <v>52</v>
      </c>
      <c r="J16" s="3">
        <f t="shared" si="1"/>
        <v>1300</v>
      </c>
      <c r="K16" s="5" t="str">
        <f t="shared" si="2"/>
        <v>High</v>
      </c>
      <c r="L16" s="1">
        <f>Table1[[#This Row],[Number of Units Sold]]*Table1[[#This Row],[Cost Price Per Unit (USD)]]</f>
        <v>200</v>
      </c>
    </row>
    <row r="17" spans="1:12" x14ac:dyDescent="0.25">
      <c r="A17" s="4" t="s">
        <v>33</v>
      </c>
      <c r="B17" s="2" t="s">
        <v>34</v>
      </c>
      <c r="C17" s="2">
        <v>35</v>
      </c>
      <c r="D17" s="2">
        <v>15</v>
      </c>
      <c r="E17" s="2">
        <v>5</v>
      </c>
      <c r="F17" s="2">
        <v>45</v>
      </c>
      <c r="G17" s="2">
        <v>40</v>
      </c>
      <c r="H17" s="2">
        <v>1800</v>
      </c>
      <c r="I17" s="3">
        <f t="shared" si="0"/>
        <v>45</v>
      </c>
      <c r="J17" s="3">
        <f t="shared" si="1"/>
        <v>1800</v>
      </c>
      <c r="K17" s="5" t="str">
        <f t="shared" si="2"/>
        <v>Normal</v>
      </c>
      <c r="L17" s="1">
        <f>Table1[[#This Row],[Number of Units Sold]]*Table1[[#This Row],[Cost Price Per Unit (USD)]]</f>
        <v>200</v>
      </c>
    </row>
    <row r="18" spans="1:12" x14ac:dyDescent="0.25">
      <c r="A18" s="4" t="s">
        <v>35</v>
      </c>
      <c r="B18" s="2" t="s">
        <v>36</v>
      </c>
      <c r="C18" s="2">
        <v>25</v>
      </c>
      <c r="D18" s="2">
        <v>10</v>
      </c>
      <c r="E18" s="2">
        <v>4</v>
      </c>
      <c r="F18" s="2">
        <v>31</v>
      </c>
      <c r="G18" s="2">
        <v>100</v>
      </c>
      <c r="H18" s="2">
        <v>3100</v>
      </c>
      <c r="I18" s="3">
        <f t="shared" si="0"/>
        <v>31</v>
      </c>
      <c r="J18" s="3">
        <f t="shared" si="1"/>
        <v>3100</v>
      </c>
      <c r="K18" s="5" t="str">
        <f t="shared" si="2"/>
        <v>Normal</v>
      </c>
      <c r="L18" s="1">
        <f>Table1[[#This Row],[Number of Units Sold]]*Table1[[#This Row],[Cost Price Per Unit (USD)]]</f>
        <v>400</v>
      </c>
    </row>
    <row r="19" spans="1:12" x14ac:dyDescent="0.25">
      <c r="A19" s="4" t="s">
        <v>37</v>
      </c>
      <c r="B19" s="2" t="s">
        <v>38</v>
      </c>
      <c r="C19" s="2">
        <v>30</v>
      </c>
      <c r="D19" s="2">
        <v>12</v>
      </c>
      <c r="E19" s="2">
        <v>6</v>
      </c>
      <c r="F19" s="2">
        <v>36</v>
      </c>
      <c r="G19" s="2">
        <v>80</v>
      </c>
      <c r="H19" s="2">
        <v>2880</v>
      </c>
      <c r="I19" s="3">
        <f t="shared" si="0"/>
        <v>36</v>
      </c>
      <c r="J19" s="3">
        <f t="shared" si="1"/>
        <v>2880</v>
      </c>
      <c r="K19" s="5" t="str">
        <f t="shared" si="2"/>
        <v>Normal</v>
      </c>
      <c r="L19" s="1">
        <f>Table1[[#This Row],[Number of Units Sold]]*Table1[[#This Row],[Cost Price Per Unit (USD)]]</f>
        <v>480</v>
      </c>
    </row>
    <row r="20" spans="1:12" x14ac:dyDescent="0.25">
      <c r="A20" s="4" t="s">
        <v>39</v>
      </c>
      <c r="B20" s="2" t="s">
        <v>40</v>
      </c>
      <c r="C20" s="2">
        <v>20</v>
      </c>
      <c r="D20" s="2">
        <v>8</v>
      </c>
      <c r="E20" s="2">
        <v>3</v>
      </c>
      <c r="F20" s="2">
        <v>25</v>
      </c>
      <c r="G20" s="2">
        <v>120</v>
      </c>
      <c r="H20" s="2">
        <v>3000</v>
      </c>
      <c r="I20" s="3">
        <f t="shared" si="0"/>
        <v>25</v>
      </c>
      <c r="J20" s="3">
        <f t="shared" si="1"/>
        <v>3000</v>
      </c>
      <c r="K20" s="5" t="str">
        <f t="shared" si="2"/>
        <v>Normal</v>
      </c>
      <c r="L20" s="1">
        <f>Table1[[#This Row],[Number of Units Sold]]*Table1[[#This Row],[Cost Price Per Unit (USD)]]</f>
        <v>360</v>
      </c>
    </row>
    <row r="21" spans="1:12" x14ac:dyDescent="0.25">
      <c r="A21" s="4" t="s">
        <v>41</v>
      </c>
      <c r="B21" s="2" t="s">
        <v>42</v>
      </c>
      <c r="C21" s="2">
        <v>15</v>
      </c>
      <c r="D21" s="2">
        <v>6</v>
      </c>
      <c r="E21" s="2">
        <v>2</v>
      </c>
      <c r="F21" s="2">
        <v>19</v>
      </c>
      <c r="G21" s="2">
        <v>200</v>
      </c>
      <c r="H21" s="2">
        <v>3800</v>
      </c>
      <c r="I21" s="3">
        <f t="shared" si="0"/>
        <v>19</v>
      </c>
      <c r="J21" s="3">
        <f t="shared" si="1"/>
        <v>3800</v>
      </c>
      <c r="K21" s="5" t="str">
        <f t="shared" si="2"/>
        <v>Low</v>
      </c>
      <c r="L21" s="1">
        <f>Table1[[#This Row],[Number of Units Sold]]*Table1[[#This Row],[Cost Price Per Unit (USD)]]</f>
        <v>400</v>
      </c>
    </row>
    <row r="22" spans="1:12" x14ac:dyDescent="0.25">
      <c r="A22" s="4" t="s">
        <v>43</v>
      </c>
      <c r="B22" s="2" t="s">
        <v>44</v>
      </c>
      <c r="C22" s="2">
        <v>25</v>
      </c>
      <c r="D22" s="2">
        <v>10</v>
      </c>
      <c r="E22" s="2">
        <v>4</v>
      </c>
      <c r="F22" s="2">
        <v>29</v>
      </c>
      <c r="G22" s="2">
        <v>400</v>
      </c>
      <c r="H22" s="2">
        <v>11600</v>
      </c>
      <c r="I22" s="3">
        <f t="shared" si="0"/>
        <v>31</v>
      </c>
      <c r="J22" s="3">
        <f t="shared" si="1"/>
        <v>12400</v>
      </c>
      <c r="K22" s="5" t="str">
        <f t="shared" si="2"/>
        <v>Normal</v>
      </c>
      <c r="L22" s="1">
        <f>Table1[[#This Row],[Number of Units Sold]]*Table1[[#This Row],[Cost Price Per Unit (USD)]]</f>
        <v>1600</v>
      </c>
    </row>
    <row r="23" spans="1:12" x14ac:dyDescent="0.25">
      <c r="A23" s="4" t="s">
        <v>45</v>
      </c>
      <c r="B23" s="2" t="s">
        <v>46</v>
      </c>
      <c r="C23" s="2">
        <v>40</v>
      </c>
      <c r="D23" s="2">
        <v>18</v>
      </c>
      <c r="E23" s="2">
        <v>9</v>
      </c>
      <c r="F23" s="2">
        <v>49</v>
      </c>
      <c r="G23" s="2">
        <v>600</v>
      </c>
      <c r="H23" s="2">
        <v>29400</v>
      </c>
      <c r="I23" s="3">
        <f t="shared" si="0"/>
        <v>49</v>
      </c>
      <c r="J23" s="3">
        <f t="shared" si="1"/>
        <v>29400</v>
      </c>
      <c r="K23" s="5" t="str">
        <f t="shared" si="2"/>
        <v>Normal</v>
      </c>
      <c r="L23" s="1">
        <f>Table1[[#This Row],[Number of Units Sold]]*Table1[[#This Row],[Cost Price Per Unit (USD)]]</f>
        <v>5400</v>
      </c>
    </row>
    <row r="24" spans="1:12" x14ac:dyDescent="0.25">
      <c r="A24" s="4" t="s">
        <v>47</v>
      </c>
      <c r="B24" s="2" t="s">
        <v>48</v>
      </c>
      <c r="C24" s="2">
        <v>30</v>
      </c>
      <c r="D24" s="2">
        <v>15</v>
      </c>
      <c r="E24" s="2">
        <v>7</v>
      </c>
      <c r="F24" s="2">
        <v>38</v>
      </c>
      <c r="G24" s="2">
        <v>350</v>
      </c>
      <c r="H24" s="2">
        <v>13300</v>
      </c>
      <c r="I24" s="3">
        <f t="shared" si="0"/>
        <v>38</v>
      </c>
      <c r="J24" s="3">
        <f t="shared" si="1"/>
        <v>13300</v>
      </c>
      <c r="K24" s="5" t="str">
        <f t="shared" si="2"/>
        <v>Normal</v>
      </c>
      <c r="L24" s="1">
        <f>Table1[[#This Row],[Number of Units Sold]]*Table1[[#This Row],[Cost Price Per Unit (USD)]]</f>
        <v>2450</v>
      </c>
    </row>
    <row r="25" spans="1:12" x14ac:dyDescent="0.25">
      <c r="A25" s="4" t="s">
        <v>49</v>
      </c>
      <c r="B25" s="2" t="s">
        <v>50</v>
      </c>
      <c r="C25" s="2">
        <v>25</v>
      </c>
      <c r="D25" s="2">
        <v>12</v>
      </c>
      <c r="E25" s="2">
        <v>5</v>
      </c>
      <c r="F25" s="2">
        <v>32</v>
      </c>
      <c r="G25" s="2">
        <v>200</v>
      </c>
      <c r="H25" s="2">
        <v>6400</v>
      </c>
      <c r="I25" s="3">
        <f t="shared" si="0"/>
        <v>32</v>
      </c>
      <c r="J25" s="3">
        <f t="shared" si="1"/>
        <v>6400</v>
      </c>
      <c r="K25" s="5" t="str">
        <f t="shared" si="2"/>
        <v>Normal</v>
      </c>
      <c r="L25" s="1">
        <f>Table1[[#This Row],[Number of Units Sold]]*Table1[[#This Row],[Cost Price Per Unit (USD)]]</f>
        <v>1000</v>
      </c>
    </row>
    <row r="26" spans="1:12" x14ac:dyDescent="0.25">
      <c r="A26" s="4" t="s">
        <v>51</v>
      </c>
      <c r="B26" s="2" t="s">
        <v>52</v>
      </c>
      <c r="C26" s="2">
        <v>50</v>
      </c>
      <c r="D26" s="2">
        <v>22</v>
      </c>
      <c r="E26" s="2">
        <v>11</v>
      </c>
      <c r="F26" s="2">
        <v>61</v>
      </c>
      <c r="G26" s="2">
        <v>80</v>
      </c>
      <c r="H26" s="2">
        <v>4880</v>
      </c>
      <c r="I26" s="3">
        <f t="shared" si="0"/>
        <v>61</v>
      </c>
      <c r="J26" s="3">
        <f t="shared" si="1"/>
        <v>4880</v>
      </c>
      <c r="K26" s="5" t="str">
        <f t="shared" si="2"/>
        <v>High</v>
      </c>
      <c r="L26" s="1">
        <f>Table1[[#This Row],[Number of Units Sold]]*Table1[[#This Row],[Cost Price Per Unit (USD)]]</f>
        <v>880</v>
      </c>
    </row>
    <row r="27" spans="1:12" x14ac:dyDescent="0.25">
      <c r="A27" s="4" t="s">
        <v>53</v>
      </c>
      <c r="B27" s="2" t="s">
        <v>54</v>
      </c>
      <c r="C27" s="2">
        <v>45</v>
      </c>
      <c r="D27" s="2">
        <v>20</v>
      </c>
      <c r="E27" s="2">
        <v>8</v>
      </c>
      <c r="F27" s="2">
        <v>57</v>
      </c>
      <c r="G27" s="2">
        <v>120</v>
      </c>
      <c r="H27" s="2">
        <v>6840</v>
      </c>
      <c r="I27" s="3">
        <f t="shared" si="0"/>
        <v>57</v>
      </c>
      <c r="J27" s="3">
        <f t="shared" si="1"/>
        <v>6840</v>
      </c>
      <c r="K27" s="5" t="str">
        <f t="shared" si="2"/>
        <v>High</v>
      </c>
      <c r="L27" s="1">
        <f>Table1[[#This Row],[Number of Units Sold]]*Table1[[#This Row],[Cost Price Per Unit (USD)]]</f>
        <v>960</v>
      </c>
    </row>
    <row r="28" spans="1:12" x14ac:dyDescent="0.25">
      <c r="A28" s="4" t="s">
        <v>55</v>
      </c>
      <c r="B28" s="2" t="s">
        <v>56</v>
      </c>
      <c r="C28" s="2">
        <v>60</v>
      </c>
      <c r="D28" s="2">
        <v>25</v>
      </c>
      <c r="E28" s="2">
        <v>12</v>
      </c>
      <c r="F28" s="2">
        <v>73</v>
      </c>
      <c r="G28" s="2">
        <v>60</v>
      </c>
      <c r="H28" s="2">
        <v>4380</v>
      </c>
      <c r="I28" s="3">
        <f t="shared" si="0"/>
        <v>73</v>
      </c>
      <c r="J28" s="3">
        <f t="shared" si="1"/>
        <v>4380</v>
      </c>
      <c r="K28" s="5" t="str">
        <f t="shared" si="2"/>
        <v>High</v>
      </c>
      <c r="L28" s="1">
        <f>Table1[[#This Row],[Number of Units Sold]]*Table1[[#This Row],[Cost Price Per Unit (USD)]]</f>
        <v>720</v>
      </c>
    </row>
    <row r="29" spans="1:12" x14ac:dyDescent="0.25">
      <c r="A29" s="4" t="s">
        <v>57</v>
      </c>
      <c r="B29" s="2" t="s">
        <v>58</v>
      </c>
      <c r="C29" s="2">
        <v>35</v>
      </c>
      <c r="D29" s="2">
        <v>15</v>
      </c>
      <c r="E29" s="2">
        <v>6</v>
      </c>
      <c r="F29" s="2">
        <v>44</v>
      </c>
      <c r="G29" s="2">
        <v>100</v>
      </c>
      <c r="H29" s="2">
        <v>4400</v>
      </c>
      <c r="I29" s="3">
        <f t="shared" si="0"/>
        <v>44</v>
      </c>
      <c r="J29" s="3">
        <f t="shared" si="1"/>
        <v>4400</v>
      </c>
      <c r="K29" s="5" t="str">
        <f t="shared" si="2"/>
        <v>Normal</v>
      </c>
      <c r="L29" s="1">
        <f>Table1[[#This Row],[Number of Units Sold]]*Table1[[#This Row],[Cost Price Per Unit (USD)]]</f>
        <v>600</v>
      </c>
    </row>
    <row r="30" spans="1:12" x14ac:dyDescent="0.25">
      <c r="A30" s="4" t="s">
        <v>59</v>
      </c>
      <c r="B30" s="2" t="s">
        <v>60</v>
      </c>
      <c r="C30" s="2">
        <v>40</v>
      </c>
      <c r="D30" s="2">
        <v>18</v>
      </c>
      <c r="E30" s="2">
        <v>9</v>
      </c>
      <c r="F30" s="2">
        <v>49</v>
      </c>
      <c r="G30" s="2">
        <v>80</v>
      </c>
      <c r="H30" s="2">
        <v>3920</v>
      </c>
      <c r="I30" s="3">
        <f t="shared" si="0"/>
        <v>49</v>
      </c>
      <c r="J30" s="3">
        <f t="shared" si="1"/>
        <v>3920</v>
      </c>
      <c r="K30" s="5" t="str">
        <f t="shared" si="2"/>
        <v>Normal</v>
      </c>
      <c r="L30" s="1">
        <f>Table1[[#This Row],[Number of Units Sold]]*Table1[[#This Row],[Cost Price Per Unit (USD)]]</f>
        <v>720</v>
      </c>
    </row>
    <row r="31" spans="1:12" x14ac:dyDescent="0.25">
      <c r="A31" s="4" t="s">
        <v>61</v>
      </c>
      <c r="B31" s="2" t="s">
        <v>62</v>
      </c>
      <c r="C31" s="2">
        <v>30</v>
      </c>
      <c r="D31" s="2">
        <v>12</v>
      </c>
      <c r="E31" s="2">
        <v>4</v>
      </c>
      <c r="F31" s="2">
        <v>34</v>
      </c>
      <c r="G31" s="2">
        <v>50</v>
      </c>
      <c r="H31" s="2">
        <v>1700</v>
      </c>
      <c r="I31" s="3">
        <f t="shared" si="0"/>
        <v>38</v>
      </c>
      <c r="J31" s="3">
        <f t="shared" si="1"/>
        <v>1900</v>
      </c>
      <c r="K31" s="5" t="str">
        <f t="shared" si="2"/>
        <v>Normal</v>
      </c>
      <c r="L31" s="1">
        <f>Table1[[#This Row],[Number of Units Sold]]*Table1[[#This Row],[Cost Price Per Unit (USD)]]</f>
        <v>200</v>
      </c>
    </row>
    <row r="32" spans="1:12" x14ac:dyDescent="0.25">
      <c r="A32" s="4" t="s">
        <v>63</v>
      </c>
      <c r="B32" s="2" t="s">
        <v>64</v>
      </c>
      <c r="C32" s="2">
        <v>25</v>
      </c>
      <c r="D32" s="2">
        <v>10</v>
      </c>
      <c r="E32" s="2">
        <v>3</v>
      </c>
      <c r="F32" s="2">
        <v>28</v>
      </c>
      <c r="G32" s="2">
        <v>30</v>
      </c>
      <c r="H32" s="2">
        <v>840</v>
      </c>
      <c r="I32" s="3">
        <f t="shared" si="0"/>
        <v>32</v>
      </c>
      <c r="J32" s="3">
        <f t="shared" si="1"/>
        <v>960</v>
      </c>
      <c r="K32" s="5" t="str">
        <f t="shared" si="2"/>
        <v>Normal</v>
      </c>
      <c r="L32" s="1">
        <f>Table1[[#This Row],[Number of Units Sold]]*Table1[[#This Row],[Cost Price Per Unit (USD)]]</f>
        <v>90</v>
      </c>
    </row>
    <row r="33" spans="1:12" x14ac:dyDescent="0.25">
      <c r="A33" s="4" t="s">
        <v>65</v>
      </c>
      <c r="B33" s="2" t="s">
        <v>66</v>
      </c>
      <c r="C33" s="2">
        <v>50</v>
      </c>
      <c r="D33" s="2">
        <v>20</v>
      </c>
      <c r="E33" s="2">
        <v>8</v>
      </c>
      <c r="F33" s="2">
        <v>58</v>
      </c>
      <c r="G33" s="2">
        <v>10</v>
      </c>
      <c r="H33" s="2">
        <v>580</v>
      </c>
      <c r="I33" s="3">
        <f t="shared" si="0"/>
        <v>62</v>
      </c>
      <c r="J33" s="3">
        <f t="shared" si="1"/>
        <v>620</v>
      </c>
      <c r="K33" s="5" t="str">
        <f t="shared" si="2"/>
        <v>High</v>
      </c>
      <c r="L33" s="1">
        <f>Table1[[#This Row],[Number of Units Sold]]*Table1[[#This Row],[Cost Price Per Unit (USD)]]</f>
        <v>80</v>
      </c>
    </row>
    <row r="34" spans="1:12" x14ac:dyDescent="0.25">
      <c r="A34" s="4" t="s">
        <v>67</v>
      </c>
      <c r="B34" s="2" t="s">
        <v>68</v>
      </c>
      <c r="C34" s="2">
        <v>40</v>
      </c>
      <c r="D34" s="2">
        <v>15</v>
      </c>
      <c r="E34" s="2">
        <v>5</v>
      </c>
      <c r="F34" s="2">
        <v>50</v>
      </c>
      <c r="G34" s="2">
        <v>5</v>
      </c>
      <c r="H34" s="2">
        <v>250</v>
      </c>
      <c r="I34" s="3">
        <f t="shared" si="0"/>
        <v>50</v>
      </c>
      <c r="J34" s="3">
        <f t="shared" si="1"/>
        <v>250</v>
      </c>
      <c r="K34" s="5" t="str">
        <f t="shared" si="2"/>
        <v>Normal</v>
      </c>
      <c r="L34" s="1">
        <f>Table1[[#This Row],[Number of Units Sold]]*Table1[[#This Row],[Cost Price Per Unit (USD)]]</f>
        <v>25</v>
      </c>
    </row>
    <row r="35" spans="1:12" x14ac:dyDescent="0.25">
      <c r="A35" s="4" t="s">
        <v>69</v>
      </c>
      <c r="B35" s="2" t="s">
        <v>70</v>
      </c>
      <c r="C35" s="2">
        <v>30</v>
      </c>
      <c r="D35" s="2">
        <v>12</v>
      </c>
      <c r="E35" s="2">
        <v>4</v>
      </c>
      <c r="F35" s="2">
        <v>34</v>
      </c>
      <c r="G35" s="2">
        <v>15</v>
      </c>
      <c r="H35" s="2">
        <v>510</v>
      </c>
      <c r="I35" s="3">
        <f t="shared" si="0"/>
        <v>38</v>
      </c>
      <c r="J35" s="3">
        <f t="shared" si="1"/>
        <v>570</v>
      </c>
      <c r="K35" s="5" t="str">
        <f t="shared" si="2"/>
        <v>Normal</v>
      </c>
      <c r="L35" s="1">
        <f>Table1[[#This Row],[Number of Units Sold]]*Table1[[#This Row],[Cost Price Per Unit (USD)]]</f>
        <v>60</v>
      </c>
    </row>
    <row r="36" spans="1:12" x14ac:dyDescent="0.25">
      <c r="A36" s="4" t="s">
        <v>71</v>
      </c>
      <c r="B36" s="2" t="s">
        <v>72</v>
      </c>
      <c r="C36" s="2">
        <v>20</v>
      </c>
      <c r="D36" s="2">
        <v>8</v>
      </c>
      <c r="E36" s="2">
        <v>3</v>
      </c>
      <c r="F36" s="2">
        <v>23</v>
      </c>
      <c r="G36" s="2">
        <v>20</v>
      </c>
      <c r="H36" s="2">
        <v>460</v>
      </c>
      <c r="I36" s="3">
        <f t="shared" si="0"/>
        <v>25</v>
      </c>
      <c r="J36" s="3">
        <f t="shared" si="1"/>
        <v>500</v>
      </c>
      <c r="K36" s="5" t="str">
        <f t="shared" si="2"/>
        <v>Normal</v>
      </c>
      <c r="L36" s="1">
        <f>Table1[[#This Row],[Number of Units Sold]]*Table1[[#This Row],[Cost Price Per Unit (USD)]]</f>
        <v>60</v>
      </c>
    </row>
    <row r="37" spans="1:12" x14ac:dyDescent="0.25">
      <c r="A37" s="4" t="s">
        <v>73</v>
      </c>
      <c r="B37" s="2" t="s">
        <v>74</v>
      </c>
      <c r="C37" s="2">
        <v>15</v>
      </c>
      <c r="D37" s="2">
        <v>6</v>
      </c>
      <c r="E37" s="2">
        <v>2</v>
      </c>
      <c r="F37" s="2">
        <v>17</v>
      </c>
      <c r="G37" s="2">
        <v>50</v>
      </c>
      <c r="H37" s="2">
        <v>850</v>
      </c>
      <c r="I37" s="3">
        <f t="shared" si="0"/>
        <v>19</v>
      </c>
      <c r="J37" s="3">
        <f t="shared" si="1"/>
        <v>950</v>
      </c>
      <c r="K37" s="5" t="str">
        <f t="shared" si="2"/>
        <v>Low</v>
      </c>
      <c r="L37" s="1">
        <f>Table1[[#This Row],[Number of Units Sold]]*Table1[[#This Row],[Cost Price Per Unit (USD)]]</f>
        <v>100</v>
      </c>
    </row>
    <row r="38" spans="1:12" x14ac:dyDescent="0.25">
      <c r="A38" s="4" t="s">
        <v>75</v>
      </c>
      <c r="B38" s="2" t="s">
        <v>76</v>
      </c>
      <c r="C38" s="2">
        <v>25</v>
      </c>
      <c r="D38" s="2">
        <v>10</v>
      </c>
      <c r="E38" s="2">
        <v>4</v>
      </c>
      <c r="F38" s="2">
        <v>29</v>
      </c>
      <c r="G38" s="2">
        <v>5</v>
      </c>
      <c r="H38" s="2">
        <v>145</v>
      </c>
      <c r="I38" s="3">
        <f t="shared" si="0"/>
        <v>31</v>
      </c>
      <c r="J38" s="3">
        <f t="shared" si="1"/>
        <v>155</v>
      </c>
      <c r="K38" s="5" t="str">
        <f t="shared" si="2"/>
        <v>Normal</v>
      </c>
      <c r="L38" s="1">
        <f>Table1[[#This Row],[Number of Units Sold]]*Table1[[#This Row],[Cost Price Per Unit (USD)]]</f>
        <v>20</v>
      </c>
    </row>
    <row r="39" spans="1:12" x14ac:dyDescent="0.25">
      <c r="A39" s="4" t="s">
        <v>77</v>
      </c>
      <c r="B39" s="2" t="s">
        <v>78</v>
      </c>
      <c r="C39" s="2">
        <v>40</v>
      </c>
      <c r="D39" s="2">
        <v>18</v>
      </c>
      <c r="E39" s="2">
        <v>9</v>
      </c>
      <c r="F39" s="2">
        <v>49</v>
      </c>
      <c r="G39" s="2">
        <v>8</v>
      </c>
      <c r="H39" s="2">
        <v>392</v>
      </c>
      <c r="I39" s="3">
        <f t="shared" si="0"/>
        <v>49</v>
      </c>
      <c r="J39" s="3">
        <f t="shared" si="1"/>
        <v>392</v>
      </c>
      <c r="K39" s="5" t="str">
        <f t="shared" si="2"/>
        <v>Normal</v>
      </c>
      <c r="L39" s="1">
        <f>Table1[[#This Row],[Number of Units Sold]]*Table1[[#This Row],[Cost Price Per Unit (USD)]]</f>
        <v>72</v>
      </c>
    </row>
    <row r="40" spans="1:12" x14ac:dyDescent="0.25">
      <c r="A40" s="4" t="s">
        <v>79</v>
      </c>
      <c r="B40" s="2" t="s">
        <v>80</v>
      </c>
      <c r="C40" s="2">
        <v>30</v>
      </c>
      <c r="D40" s="2">
        <v>15</v>
      </c>
      <c r="E40" s="2">
        <v>6</v>
      </c>
      <c r="F40" s="2">
        <v>39</v>
      </c>
      <c r="G40" s="2">
        <v>20</v>
      </c>
      <c r="H40" s="2">
        <v>780</v>
      </c>
      <c r="I40" s="3">
        <f t="shared" si="0"/>
        <v>39</v>
      </c>
      <c r="J40" s="3">
        <f t="shared" si="1"/>
        <v>780</v>
      </c>
      <c r="K40" s="5" t="str">
        <f t="shared" si="2"/>
        <v>Normal</v>
      </c>
      <c r="L40" s="1">
        <f>Table1[[#This Row],[Number of Units Sold]]*Table1[[#This Row],[Cost Price Per Unit (USD)]]</f>
        <v>120</v>
      </c>
    </row>
    <row r="41" spans="1:12" x14ac:dyDescent="0.25">
      <c r="A41" s="4" t="s">
        <v>81</v>
      </c>
      <c r="B41" s="2" t="s">
        <v>82</v>
      </c>
      <c r="C41" s="2">
        <v>35</v>
      </c>
      <c r="D41" s="2">
        <v>12</v>
      </c>
      <c r="E41" s="2">
        <v>4</v>
      </c>
      <c r="F41" s="2">
        <v>31</v>
      </c>
      <c r="G41" s="2">
        <v>15</v>
      </c>
      <c r="H41" s="2">
        <v>465</v>
      </c>
      <c r="I41" s="3">
        <f t="shared" si="0"/>
        <v>43</v>
      </c>
      <c r="J41" s="3">
        <f t="shared" si="1"/>
        <v>645</v>
      </c>
      <c r="K41" s="5" t="str">
        <f t="shared" si="2"/>
        <v>Normal</v>
      </c>
      <c r="L41" s="1">
        <f>Table1[[#This Row],[Number of Units Sold]]*Table1[[#This Row],[Cost Price Per Unit (USD)]]</f>
        <v>60</v>
      </c>
    </row>
    <row r="42" spans="1:12" x14ac:dyDescent="0.25">
      <c r="A42" s="4" t="s">
        <v>83</v>
      </c>
      <c r="B42" s="2" t="s">
        <v>84</v>
      </c>
      <c r="C42" s="2">
        <v>25</v>
      </c>
      <c r="D42" s="2">
        <v>8</v>
      </c>
      <c r="E42" s="2">
        <v>3</v>
      </c>
      <c r="F42" s="2">
        <v>28</v>
      </c>
      <c r="G42" s="2">
        <v>10</v>
      </c>
      <c r="H42" s="2">
        <v>280</v>
      </c>
      <c r="I42" s="3">
        <f t="shared" si="0"/>
        <v>30</v>
      </c>
      <c r="J42" s="3">
        <f t="shared" si="1"/>
        <v>300</v>
      </c>
      <c r="K42" s="5" t="str">
        <f t="shared" si="2"/>
        <v>Normal</v>
      </c>
      <c r="L42" s="1">
        <f>Table1[[#This Row],[Number of Units Sold]]*Table1[[#This Row],[Cost Price Per Unit (USD)]]</f>
        <v>30</v>
      </c>
    </row>
    <row r="43" spans="1:12" x14ac:dyDescent="0.25">
      <c r="A43" s="4" t="s">
        <v>85</v>
      </c>
      <c r="B43" s="2" t="s">
        <v>86</v>
      </c>
      <c r="C43" s="2">
        <v>20</v>
      </c>
      <c r="D43" s="2">
        <v>10</v>
      </c>
      <c r="E43" s="2">
        <v>4</v>
      </c>
      <c r="F43" s="2">
        <v>24</v>
      </c>
      <c r="G43" s="2">
        <v>15</v>
      </c>
      <c r="H43" s="2">
        <v>360</v>
      </c>
      <c r="I43" s="3">
        <f t="shared" si="0"/>
        <v>26</v>
      </c>
      <c r="J43" s="3">
        <f t="shared" si="1"/>
        <v>390</v>
      </c>
      <c r="K43" s="5" t="str">
        <f t="shared" si="2"/>
        <v>Normal</v>
      </c>
      <c r="L43" s="1">
        <f>Table1[[#This Row],[Number of Units Sold]]*Table1[[#This Row],[Cost Price Per Unit (USD)]]</f>
        <v>60</v>
      </c>
    </row>
    <row r="44" spans="1:12" x14ac:dyDescent="0.25">
      <c r="A44" s="4" t="s">
        <v>87</v>
      </c>
      <c r="B44" s="2" t="s">
        <v>88</v>
      </c>
      <c r="C44" s="2">
        <v>30</v>
      </c>
      <c r="D44" s="2">
        <v>12</v>
      </c>
      <c r="E44" s="2">
        <v>5</v>
      </c>
      <c r="F44" s="2">
        <v>37</v>
      </c>
      <c r="G44" s="2">
        <v>20</v>
      </c>
      <c r="H44" s="2">
        <v>740</v>
      </c>
      <c r="I44" s="3">
        <f t="shared" si="0"/>
        <v>37</v>
      </c>
      <c r="J44" s="3">
        <f t="shared" si="1"/>
        <v>740</v>
      </c>
      <c r="K44" s="5" t="str">
        <f t="shared" si="2"/>
        <v>Normal</v>
      </c>
      <c r="L44" s="1">
        <f>Table1[[#This Row],[Number of Units Sold]]*Table1[[#This Row],[Cost Price Per Unit (USD)]]</f>
        <v>100</v>
      </c>
    </row>
    <row r="45" spans="1:12" x14ac:dyDescent="0.25">
      <c r="A45" s="4" t="s">
        <v>89</v>
      </c>
      <c r="B45" s="2" t="s">
        <v>90</v>
      </c>
      <c r="C45" s="2">
        <v>40</v>
      </c>
      <c r="D45" s="2">
        <v>18</v>
      </c>
      <c r="E45" s="2">
        <v>7</v>
      </c>
      <c r="F45" s="2">
        <v>51</v>
      </c>
      <c r="G45" s="2">
        <v>30</v>
      </c>
      <c r="H45" s="2">
        <v>1530</v>
      </c>
      <c r="I45" s="3">
        <f t="shared" si="0"/>
        <v>51</v>
      </c>
      <c r="J45" s="3">
        <f t="shared" si="1"/>
        <v>1530</v>
      </c>
      <c r="K45" s="5" t="str">
        <f t="shared" si="2"/>
        <v>High</v>
      </c>
      <c r="L45" s="1">
        <f>Table1[[#This Row],[Number of Units Sold]]*Table1[[#This Row],[Cost Price Per Unit (USD)]]</f>
        <v>210</v>
      </c>
    </row>
    <row r="46" spans="1:12" x14ac:dyDescent="0.25">
      <c r="A46" s="4" t="s">
        <v>91</v>
      </c>
      <c r="B46" s="2" t="s">
        <v>92</v>
      </c>
      <c r="C46" s="2">
        <v>50</v>
      </c>
      <c r="D46" s="2">
        <v>20</v>
      </c>
      <c r="E46" s="2">
        <v>9</v>
      </c>
      <c r="F46" s="2">
        <v>61</v>
      </c>
      <c r="G46" s="2">
        <v>8</v>
      </c>
      <c r="H46" s="2">
        <v>488</v>
      </c>
      <c r="I46" s="3">
        <f t="shared" si="0"/>
        <v>61</v>
      </c>
      <c r="J46" s="3">
        <f t="shared" si="1"/>
        <v>488</v>
      </c>
      <c r="K46" s="5" t="str">
        <f t="shared" si="2"/>
        <v>High</v>
      </c>
      <c r="L46" s="1">
        <f>Table1[[#This Row],[Number of Units Sold]]*Table1[[#This Row],[Cost Price Per Unit (USD)]]</f>
        <v>72</v>
      </c>
    </row>
    <row r="47" spans="1:12" x14ac:dyDescent="0.25">
      <c r="A47" s="9" t="s">
        <v>93</v>
      </c>
      <c r="B47" s="10" t="s">
        <v>94</v>
      </c>
      <c r="C47" s="10">
        <v>25</v>
      </c>
      <c r="D47" s="10">
        <v>10</v>
      </c>
      <c r="E47" s="10">
        <v>3</v>
      </c>
      <c r="F47" s="10">
        <v>28</v>
      </c>
      <c r="G47" s="10">
        <v>150</v>
      </c>
      <c r="H47" s="10">
        <v>4200</v>
      </c>
      <c r="I47" s="11">
        <f t="shared" si="0"/>
        <v>32</v>
      </c>
      <c r="J47" s="11">
        <f t="shared" si="1"/>
        <v>4800</v>
      </c>
      <c r="K47" s="12" t="str">
        <f t="shared" si="2"/>
        <v>Normal</v>
      </c>
      <c r="L47" s="1">
        <f>Table1[[#This Row],[Number of Units Sold]]*Table1[[#This Row],[Cost Price Per Unit (USD)]]</f>
        <v>450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DashBoad</vt:lpstr>
      <vt:lpstr>Sheet1</vt:lpstr>
      <vt:lpstr>Inventory Records Data</vt:lpstr>
      <vt:lpstr>tblInventory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Seemanto Saha</dc:creator>
  <cp:lastModifiedBy>yogesh mishra</cp:lastModifiedBy>
  <dcterms:created xsi:type="dcterms:W3CDTF">2024-02-19T11:46:38Z</dcterms:created>
  <dcterms:modified xsi:type="dcterms:W3CDTF">2025-12-24T08:03:29Z</dcterms:modified>
</cp:coreProperties>
</file>